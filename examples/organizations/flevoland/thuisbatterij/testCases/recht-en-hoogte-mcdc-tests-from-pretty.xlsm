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testCases/"/>
    </mc:Choice>
  </mc:AlternateContent>
  <xr:revisionPtr revIDLastSave="832" documentId="8_{ACC4DE5D-14E7-4897-ADC7-E6E60D32B9B5}" xr6:coauthVersionLast="47" xr6:coauthVersionMax="47" xr10:uidLastSave="{54C2E215-87A2-4D4E-A7B4-D29710060F6E}"/>
  <bookViews>
    <workbookView xWindow="-110" yWindow="-110" windowWidth="23260" windowHeight="14860" activeTab="1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Tests!$A$4:$AH$45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U13" i="1" l="1"/>
  <c r="S13" i="1"/>
  <c r="Q13" i="1"/>
  <c r="U12" i="1"/>
  <c r="S12" i="1"/>
  <c r="Q12" i="1"/>
  <c r="U11" i="1"/>
  <c r="S11" i="1"/>
  <c r="Q11" i="1"/>
  <c r="U10" i="1"/>
  <c r="S10" i="1"/>
  <c r="Q10" i="1"/>
  <c r="U9" i="1"/>
  <c r="S9" i="1"/>
  <c r="Q9" i="1"/>
  <c r="U8" i="1"/>
  <c r="S8" i="1"/>
  <c r="Q8" i="1"/>
  <c r="U7" i="1"/>
  <c r="S7" i="1"/>
  <c r="Q7" i="1"/>
  <c r="U6" i="1"/>
  <c r="S6" i="1"/>
  <c r="Q6" i="1"/>
  <c r="U5" i="1"/>
  <c r="S5" i="1"/>
  <c r="Q5" i="1"/>
</calcChain>
</file>

<file path=xl/sharedStrings.xml><?xml version="1.0" encoding="utf-8"?>
<sst xmlns="http://schemas.openxmlformats.org/spreadsheetml/2006/main" count="694" uniqueCount="237">
  <si>
    <t>Total</t>
  </si>
  <si>
    <t>Result</t>
  </si>
  <si>
    <t>Count</t>
  </si>
  <si>
    <t>Passed</t>
  </si>
  <si>
    <t>PASS</t>
  </si>
  <si>
    <t>FAIL</t>
  </si>
  <si>
    <t>Not run</t>
  </si>
  <si>
    <t>NOT RUN</t>
  </si>
  <si>
    <t>Decision ID</t>
  </si>
  <si>
    <t>Run</t>
  </si>
  <si>
    <t>RechtOpSubsidieThuisbatterij</t>
  </si>
  <si>
    <t>BehaalbareHoogteSubsidie</t>
  </si>
  <si>
    <t>BerekenBasisHoogteSubsidie</t>
  </si>
  <si>
    <t>BerekenBeschikbaarSubsidiePlafond</t>
  </si>
  <si>
    <t>SubsidieConstantenThuisbatterij</t>
  </si>
  <si>
    <t>jaarGebondenBudget</t>
  </si>
  <si>
    <t>Tests</t>
  </si>
  <si>
    <t>Enable macros. Use Run All Tests on the Dashboard or a row Run button; the macro sends POST requests using the Generated JSON Body column.</t>
  </si>
  <si>
    <t>Name</t>
  </si>
  <si>
    <t>Method</t>
  </si>
  <si>
    <t>URL</t>
  </si>
  <si>
    <t>aanvraagDatum</t>
  </si>
  <si>
    <t>aanvragerType</t>
  </si>
  <si>
    <t>basisHoogteSubsidie</t>
  </si>
  <si>
    <t>beschikbaarSubsidiePlafond</t>
  </si>
  <si>
    <t>gemaakteKosten</t>
  </si>
  <si>
    <t>minimaleNoodzakelijkeKosten</t>
  </si>
  <si>
    <t>plafondEigenaren</t>
  </si>
  <si>
    <t>plafondHuurders</t>
  </si>
  <si>
    <t>reedsGesubsidieerdEigenaren</t>
  </si>
  <si>
    <t>reedsGesubsidieerdHuurders</t>
  </si>
  <si>
    <t>subsidieMaximum</t>
  </si>
  <si>
    <t>subsidieMinimum</t>
  </si>
  <si>
    <t>subsidiePercentage</t>
  </si>
  <si>
    <t>aanvragerFailliet</t>
  </si>
  <si>
    <t>provincieWoning</t>
  </si>
  <si>
    <t>rekeningNaamKomtOvereen</t>
  </si>
  <si>
    <t>relatieTotWoning</t>
  </si>
  <si>
    <t>toestemmingEigenaar</t>
  </si>
  <si>
    <t>Expected</t>
  </si>
  <si>
    <t>Actual</t>
  </si>
  <si>
    <t>Status</t>
  </si>
  <si>
    <t>Username</t>
  </si>
  <si>
    <t>Password</t>
  </si>
  <si>
    <t>Outcome Names</t>
  </si>
  <si>
    <t>Variable Types</t>
  </si>
  <si>
    <t>Generated JSON Body</t>
  </si>
  <si>
    <t>Selected Rule ID</t>
  </si>
  <si>
    <t>Selected Rule Index</t>
  </si>
  <si>
    <t>Coverage Reasons</t>
  </si>
  <si>
    <t>TC-R1_Afwijzing_AanvragerFailliet</t>
  </si>
  <si>
    <t>POST</t>
  </si>
  <si>
    <t>https://operaton.open-regels.nl/engine-rest/decision-definition/key/RechtOpSubsidieThuisbatterij/tenant-id/46/evaluate</t>
  </si>
  <si>
    <t>Flevoland</t>
  </si>
  <si>
    <t>eigenaar</t>
  </si>
  <si>
    <t>demo</t>
  </si>
  <si>
    <t>cqa4fpd2jhz*tph5PVC</t>
  </si>
  <si>
    <t>rechtOpSubsidie,reden</t>
  </si>
  <si>
    <t>aanvragerFailliet:Boolean;provincieWoning:String;relatieTotWoning:String;toestemmingEigenaar:Boolean;rekeningNaamKomtOvereen:Boolean</t>
  </si>
  <si>
    <t>MC/DC: aanvragerFailliet=true triggers immediate rejection regardless of any other input. Covers Rule_Afwijzing_AanvragerFailliet.</t>
  </si>
  <si>
    <t>TC-R2_Afwijzing_NietInFlevoland</t>
  </si>
  <si>
    <t>Noord-Holland</t>
  </si>
  <si>
    <t>MC/DC: provincieWoning≠Flevoland triggers rejection when aanvragerFailliet=false. Covers Rule_Afwijzing_NietInFlevoland.</t>
  </si>
  <si>
    <t>TC-R3_Afwijzing_GeenEigenaarOfHuurder</t>
  </si>
  <si>
    <t>gebruiker</t>
  </si>
  <si>
    <t>MC/DC: relatieTotWoning=neither 'eigenaar' nor 'huurder' triggers rejection. Covers Rule_Afwijzing_GeenEigenaarOfHuurder.</t>
  </si>
  <si>
    <t>TC-R4_Afwijzing_HuurderZonderToestemming</t>
  </si>
  <si>
    <t>huurder</t>
  </si>
  <si>
    <t>MC/DC: huurder + toestemmingEigenaar=false → reject. Covers Rule_Afwijzing_HuurderZonderToestemming.</t>
  </si>
  <si>
    <t>TC-R5_Afwijzing_NaamNietOpEnergierekening</t>
  </si>
  <si>
    <t>MC/DC: rekeningNaamKomtOvereen=false triggers rejection when failliet=false and all other conditions would otherwise allow approval. Covers Rule_Afwijzing_NaamNietOpEnergierekening.</t>
  </si>
  <si>
    <t>TC-R6_Toekenning_Eigenaar_AllConditionsMet</t>
  </si>
  <si>
    <t>MC/DC baseline for approval: eigenaar, Flevoland, not failliet, rekening=true. toestemmingEigenaar is irrelevant for eigenaar (MC/DC pair with TC-R6b). Covers Rule_Toekenning_Eigenaar.</t>
  </si>
  <si>
    <t>TC-R6b_Toekenning_Eigenaar_ToestemmingIrrelevant</t>
  </si>
  <si>
    <t>Boundary/MC/DC: eigenaar does NOT require toestemmingEigenaar — approval must still be granted with toestemming=false. Demonstrates that condition only matters for huurder path.</t>
  </si>
  <si>
    <t>TC-R7_Toekenning_Huurder_MetToestemming</t>
  </si>
  <si>
    <t>MC/DC: huurder + toestemmingEigenaar=true → approved (MC/DC pair with TC-R4). Covers Rule_Toekenning_Huurder.</t>
  </si>
  <si>
    <t>TC-R8_Afwijzing_Standaard_Vangnet</t>
  </si>
  <si>
    <t>erfpachter</t>
  </si>
  <si>
    <t>Catch-all fallback: unknown relatieTotWoning with no clear match above catch-all rule. Covers Rule_Afwijzing_Standaard.</t>
  </si>
  <si>
    <t>TC-JB1_Budget2026</t>
  </si>
  <si>
    <t>https://operaton.open-regels.nl/engine-rest/decision-definition/key/jaarGebondenBudget/tenant-id/46/evaluate</t>
  </si>
  <si>
    <t>2026-06-01</t>
  </si>
  <si>
    <t>plafondEigenaren,plafondHuurders</t>
  </si>
  <si>
    <t>aanvraagDatum:String</t>
  </si>
  <si>
    <t>{"variables":{"aanvraagDatum":{"value":"2026-06-01","type":"String"}}}</t>
  </si>
  <si>
    <t>MC/DC: aanvraagDatum in 2026 → plafondEigenaren=437500, plafondHuurders=437500.</t>
  </si>
  <si>
    <t>TC-JB2_Budget2027</t>
  </si>
  <si>
    <t>2027-06-01</t>
  </si>
  <si>
    <t>{"variables":{"aanvraagDatum":{"value":"2027-06-01","type":"String"}}}</t>
  </si>
  <si>
    <t>MC/DC: aanvraagDatum in 2027 → plafondEigenaren=437500, plafondHuurders=437500.</t>
  </si>
  <si>
    <t>TC-JB3_Budget_OnbekendJaar_2025</t>
  </si>
  <si>
    <t>2025-12-31</t>
  </si>
  <si>
    <t>{"variables":{"aanvraagDatum":{"value":"2025-12-31","type":"String"}}}</t>
  </si>
  <si>
    <t>Boundary: year=2025 — no rule matches, expect no output row (null/empty result). Tests DMN gap outside modelled years.</t>
  </si>
  <si>
    <t>TC-JB4_Budget_OnbekendJaar_2028</t>
  </si>
  <si>
    <t>2028-01-01</t>
  </si>
  <si>
    <t>{"variables":{"aanvraagDatum":{"value":"2028-01-01","type":"String"}}}</t>
  </si>
  <si>
    <t>Boundary: year=2028 — no rule matches, expect no output row (null/empty result).</t>
  </si>
  <si>
    <t>TC-SC1_Constanten_Standaard</t>
  </si>
  <si>
    <t>https://operaton.open-regels.nl/engine-rest/decision-definition/key/SubsidieConstantenThuisbatterij/tenant-id/46/evaluate</t>
  </si>
  <si>
    <t>subsidiePercentage,subsidieMinimum,subsidieMaximum,minimaleNoodzakelijkeKosten</t>
  </si>
  <si>
    <t>{"variables":{}}</t>
  </si>
  <si>
    <t>Single rule: verifies all constant outputs — subsidiePercentage=0.25, subsidieMinimum=750, subsidieMaximum=1250, minimaleNoodzakelijkeKosten=750.</t>
  </si>
  <si>
    <t>TC-BH1_Basis_ExactThreshold_3000</t>
  </si>
  <si>
    <t>https://operaton.open-regels.nl/engine-rest/decision-definition/key/BerekenBasisHoogteSubsidie/tenant-id/46/evaluate</t>
  </si>
  <si>
    <t>2026-05-15</t>
  </si>
  <si>
    <t>gemaakteKosten:Double;aanvraagDatum:String;aanvragerType:String;reedsGesubsidieerdEigenaren:Double;reedsGesubsidieerdHuurders:Double</t>
  </si>
  <si>
    <t>Boundary ON: gemaakteKosten=3000 (exact threshold). 0.25*3000=750 = subsidieMinimum. Rule_Basis_BovenMinimum fires; output is 750.</t>
  </si>
  <si>
    <t>TC-BH2_Basis_OnderThreshold_2999</t>
  </si>
  <si>
    <t>Boundary BELOW: gemaakteKosten=2999 (just below 3000 threshold). Rule_Basis_OnderMinimum fires; output is 0.</t>
  </si>
  <si>
    <t>TC-BH3_Basis_MiddenRange_4000</t>
  </si>
  <si>
    <t>Nominal mid-range: gemaakteKosten=4000. 0.25*4000=1000 (between 750 and 1250). Output is 1000.</t>
  </si>
  <si>
    <t>TC-BH4_Basis_ExactMaximum_5000</t>
  </si>
  <si>
    <t>Boundary ON maximum: gemaakteKosten=5000. 0.25*5000=1250 = subsidieMaximum exactly. Output is 1250 (no clamping needed, at cap).</t>
  </si>
  <si>
    <t>TC-BH5_Basis_BovenMaximum_7000</t>
  </si>
  <si>
    <t>Boundary ABOVE maximum: gemaakteKosten=7000. 0.25*7000=1750 &gt; subsidieMaximum=1250. Output is clamped to 1250.</t>
  </si>
  <si>
    <t>TC-BH6_Basis_NulKosten</t>
  </si>
  <si>
    <t>Extreme lower boundary: gemaakteKosten=0. Well below threshold → output is 0.</t>
  </si>
  <si>
    <t>TC-SP1_2026_Eigenaar_Start_NogNietsGebruikt</t>
  </si>
  <si>
    <t>https://operaton.open-regels.nl/engine-rest/decision-definition/key/BerekenBeschikbaarSubsidiePlafond/tenant-id/46/evaluate</t>
  </si>
  <si>
    <t>2026-01-12</t>
  </si>
  <si>
    <t>aanvraagDatum:String;aanvragerType:String;reedsGesubsidieerdEigenaren:Double;reedsGesubsidieerdHuurders:Double</t>
  </si>
  <si>
    <t>Boundary ON start of scheme: 2026-01-12, eigenaar, reedsGesubsidieerdEigenaren=0 → beschikbaarSubsidiePlafond = 437500-0 = 437500.</t>
  </si>
  <si>
    <t>TC-SP2_2026_Eigenaar_VoorStart_2026-01-11</t>
  </si>
  <si>
    <t>2026-01-11</t>
  </si>
  <si>
    <t>Boundary BEFORE scheme starts: 2026-01-11 — no date range matches. Fallback rule fires → beschikbaarSubsidiePlafond=0.</t>
  </si>
  <si>
    <t>TC-SP3_2026_Eigenaar_EindeSplitsDag_2026-09-30</t>
  </si>
  <si>
    <t>2026-09-30</t>
  </si>
  <si>
    <t>Boundary ON last split day: 2026-09-30, eigenaar, gedeeltelijk gebruikt (50000) → 437500-50000=387500.</t>
  </si>
  <si>
    <t>TC-SP4_2026_Huurder_Midden</t>
  </si>
  <si>
    <t>2026-06-15</t>
  </si>
  <si>
    <t>MC/DC: huurder in 2026 split period → plafondHuurders - reedsGesubsidieerdHuurders = 437500-100000=337500. Rule_Platform_2026_Huurder_Gescheiden.</t>
  </si>
  <si>
    <t>TC-SP5_2026_Eigenaar_PlafondUitgeput</t>
  </si>
  <si>
    <t>Boundary floor: eigenaar plafond fully exhausted (reedsGesubsidieerdEigenaren=437500) → max(437500-437500,0)=0.</t>
  </si>
  <si>
    <t>TC-SP6_2026_Eigenaar_PlafondOverschreven</t>
  </si>
  <si>
    <t>Boundary floor: reedsGesubsidieerdEigenaren exceeds plafond (500000&gt;437500) → floor to 0.</t>
  </si>
  <si>
    <t>TC-SP7_2026_Gebundeld_Start_2026-10-01</t>
  </si>
  <si>
    <t>2026-10-01</t>
  </si>
  <si>
    <t>Boundary ON first bundled day (2026-10-01): any type → plafondE+plafondH - reedsE - reedsH = 437500+437500-50000-100000 = 725000.</t>
  </si>
  <si>
    <t>TC-SP8_2026_Gebundeld_Huurder_Midden</t>
  </si>
  <si>
    <t>2026-11-15</t>
  </si>
  <si>
    <t>MC/DC: huurder in 2026 bundled period — type is irrelevant once in bundled window. Same formula as eigenaar. 437500+437500-0-200000=675000.</t>
  </si>
  <si>
    <t>TC-SP9_2026_Gebundeld_Einde_2026-12-31</t>
  </si>
  <si>
    <t>2026-12-31</t>
  </si>
  <si>
    <t>Boundary ON last day of 2026 bundled window: 2026-12-31 → rule fires normally.</t>
  </si>
  <si>
    <t>TC-SP10_2027_Eigenaar_Start_2027-01-01</t>
  </si>
  <si>
    <t>2027-01-01</t>
  </si>
  <si>
    <t>Boundary ON first day of 2027 eigenaar split period: plafondEigenaren(2027)=437500, reedsGesubsidieerdEigenaren=0 → 437500.</t>
  </si>
  <si>
    <t>TC-SP11_2027_Huurder_SplitsPeriode</t>
  </si>
  <si>
    <t>2027-05-15</t>
  </si>
  <si>
    <t>MC/DC: huurder in 2027 split period → plafondHuurders(2027)-reedsGesubsidieerdHuurders = 437500-87500=350000.</t>
  </si>
  <si>
    <t>TC-SP12_2027_Eigenaar_EindeSplits_2027-09-30</t>
  </si>
  <si>
    <t>2027-09-30</t>
  </si>
  <si>
    <t>Boundary ON last split day in 2027: 2027-09-30 → eigenaar split rule still fires.</t>
  </si>
  <si>
    <t>TC-SP13_2027_Gebundeld_Start_2027-10-01</t>
  </si>
  <si>
    <t>2027-10-01</t>
  </si>
  <si>
    <t>Boundary ON first bundled day of 2027: 2027-10-01 → 1000000 - reedsE - reedsH = 1000000-0-0=1000000 (note: 2027 bundled pool is 1M, not 875K).</t>
  </si>
  <si>
    <t>TC-SP14_2027_Gebundeld_Einde_2027-12-31</t>
  </si>
  <si>
    <t>2027-12-31</t>
  </si>
  <si>
    <t>Boundary ON last day of 2027 bundled period: 2027-12-31 → 1000000-200000-300000=500000.</t>
  </si>
  <si>
    <t>TC-SP15_NaAanvraagPeriode_2028-01-01</t>
  </si>
  <si>
    <t>Boundary AFTER all modelled periods: 2028-01-01 → fallback rule → beschikbaarSubsidiePlafond=0.</t>
  </si>
  <si>
    <t>TC-SP16_OnbekendAanvragerType_InGeldigeperiode</t>
  </si>
  <si>
    <t>beheerder</t>
  </si>
  <si>
    <t>MC/DC: aanvragerType=unknown value in split period (not 'eigenaar' or 'huurder') → neither eigenaar nor huurder split rule fires; falls through to bundled rule if date matches, or fallback. Date 2026-06-15 has no bundled rule → fallback = 0.</t>
  </si>
  <si>
    <t>TC-BHS1_BasisPastBinnenPlafond</t>
  </si>
  <si>
    <t>https://operaton.open-regels.nl/engine-rest/decision-definition/key/BehaalbareHoogteSubsidie/tenant-id/46/evaluate</t>
  </si>
  <si>
    <t>hoogteSubsidie</t>
  </si>
  <si>
    <t>MC/DC Rule 1: basisHoogteSubsidie &lt;= beschikbaarSubsidiePlafond → hoogteSubsidie = basisHoogteSubsidie. gemaakteKosten=4000 → basis=1000; reedsGesubsidieerdEigenaren=0 → plafond=437500. 1000&lt;=437500 ✓ → output=1000.</t>
  </si>
  <si>
    <t>TC-BHS2_BasisBeperktDoorPlafond</t>
  </si>
  <si>
    <t>MC/DC Rule 2: basisHoogteSubsidie &gt; beschikbaarSubsidiePlafond → hoogteSubsidie = beschikbaarSubsidiePlafond. gemaakteKosten=7000 → basis=1250; reedsGesubsidieerdEigenaren=437000 → plafond=500. 1250&gt;500 → output=500.</t>
  </si>
  <si>
    <t>TC-BHS3_BasisGelijkAanPlafond</t>
  </si>
  <si>
    <t>Boundary ON: basisHoogteSubsidie exactly equals beschikbaarSubsidiePlafond → Rule 1 fires (&lt;=). gemaakteKosten=7000 → basis=1250; reedsGesubsidieerdEigenaren=436250 → plafond=437500-436250=1250. output=1250.</t>
  </si>
  <si>
    <t>TC-BHS4_PlafondNul_GeenSubsidie</t>
  </si>
  <si>
    <t>Boundary: plafond fully exhausted. reedsGesubsidieerdEigenaren=437500 → plafond=0. basisHoogteSubsidie=1250 &gt; 0 → Rule 2 fires → hoogteSubsidie=0.</t>
  </si>
  <si>
    <t>TC-BHS5_BasisNul_PlafondPositief</t>
  </si>
  <si>
    <t>Boundary: gemaakteKosten below threshold → basis=0. 0 &lt;= any plafond → Rule 1 fires → hoogteSubsidie=0.</t>
  </si>
  <si>
    <t>DMN MC/DC Test Runner</t>
  </si>
  <si>
    <t>Started from the working Pretty workbook. Use Run All Tests below, or row Run buttons on the Tests sheet.</t>
  </si>
  <si>
    <t>Failed</t>
  </si>
  <si>
    <t>{"variables":{"aanvragerFailliet":{"value":false,"type":"Boolean"},"provincieWoning":{"value":"Flevoland","type":"String"},"rekeningNaamKomtOvereen":{"value":false,"type":"Boolean"},"relatieTotWoning":{"value":"eigenaar","type":"String"},"toestemmingEigenaar":{"value":false,"type":"Boolean"}}}</t>
  </si>
  <si>
    <t>rechtOpSubsidie=false, reden=Aanvrager staat niet op de energierekening</t>
  </si>
  <si>
    <t>{"variables":{"aanvragerFailliet":{"value":false,"type":"Boolean"},"provincieWoning":{"value":"Noord-Holland","type":"String"},"rekeningNaamKomtOvereen":{"value":false,"type":"Boolean"},"relatieTotWoning":{"value":"eigenaar","type":"String"},"toestemmingEigenaar":{"value":false,"type":"Boolean"}}}</t>
  </si>
  <si>
    <t>rechtOpSubsidie=false, reden=Woning ligt niet in Flevoland</t>
  </si>
  <si>
    <t>{"variables":{"aanvragerFailliet":{"value":false,"type":"Boolean"},"provincieWoning":{"value":"Flevoland","type":"String"},"rekeningNaamKomtOvereen":{"value":false,"type":"Boolean"},"relatieTotWoning":{"value":"gebruiker","type":"String"},"toestemmingEigenaar":{"value":false,"type":"Boolean"}}}</t>
  </si>
  <si>
    <t>rechtOpSubsidie=false, reden=Aanvrager is geen eigenaar of huurder</t>
  </si>
  <si>
    <t>{"variables":{"aanvragerFailliet":{"value":false,"type":"Boolean"},"provincieWoning":{"value":"Flevoland","type":"String"},"rekeningNaamKomtOvereen":{"value":false,"type":"Boolean"},"relatieTotWoning":{"value":"huurder","type":"String"},"toestemmingEigenaar":{"value":false,"type":"Boolean"}}}</t>
  </si>
  <si>
    <t>rechtOpSubsidie=false, reden=Huurder heeft geen toestemming van eigenaar</t>
  </si>
  <si>
    <t>{"variables":{"aanvragerFailliet":{"value":false,"type":"Boolean"},"provincieWoning":{"value":"Flevoland","type":"String"},"rekeningNaamKomtOvereen":{"value":false,"type":"Boolean"},"relatieTotWoning":{"value":"erfpachter","type":"String"},"toestemmingEigenaar":{"value":false,"type":"Boolean"}}}</t>
  </si>
  <si>
    <t>plafondEigenaren=437500.0, plafondHuurders=437500.0</t>
  </si>
  <si>
    <t>[]</t>
  </si>
  <si>
    <t>subsidiePercentage=0.25, subsidieMinimum=750.0, subsidieMaximum=1250.0, minimaleNoodzakelijkeKosten=750.0</t>
  </si>
  <si>
    <t>{"variables":{"aanvraagDatum":{"value":"2026-05-15","type":"String"},"aanvragerType":{"value":"eigenaar","type":"String"},"gemaakteKosten":{"value":3000,"type":"Double"},"reedsGesubsidieerdEigenaren":{"value":0,"type":"Double"},"reedsGesubsidieerdHuurders":{"value":0,"type":"Double"}}}</t>
  </si>
  <si>
    <t>basisHoogteSubsidie=750.0</t>
  </si>
  <si>
    <t>{"variables":{"aanvraagDatum":{"value":"2026-05-15","type":"String"},"aanvragerType":{"value":"eigenaar","type":"String"},"gemaakteKosten":{"value":2999,"type":"Double"},"reedsGesubsidieerdEigenaren":{"value":0,"type":"Double"},"reedsGesubsidieerdHuurders":{"value":0,"type":"Double"}}}</t>
  </si>
  <si>
    <t>basisHoogteSubsidie=0.0</t>
  </si>
  <si>
    <t>{"variables":{"aanvraagDatum":{"value":"2026-05-15","type":"String"},"aanvragerType":{"value":"eigenaar","type":"String"},"gemaakteKosten":{"value":4000,"type":"Double"},"reedsGesubsidieerdEigenaren":{"value":0,"type":"Double"},"reedsGesubsidieerdHuurders":{"value":0,"type":"Double"}}}</t>
  </si>
  <si>
    <t>basisHoogteSubsidie=1000.0</t>
  </si>
  <si>
    <t>{"variables":{"aanvraagDatum":{"value":"2026-05-15","type":"String"},"aanvragerType":{"value":"eigenaar","type":"String"},"gemaakteKosten":{"value":5000,"type":"Double"},"reedsGesubsidieerdEigenaren":{"value":0,"type":"Double"},"reedsGesubsidieerdHuurders":{"value":0,"type":"Double"}}}</t>
  </si>
  <si>
    <t>basisHoogteSubsidie=1250.0</t>
  </si>
  <si>
    <t>{"variables":{"aanvraagDatum":{"value":"2026-05-15","type":"String"},"aanvragerType":{"value":"eigenaar","type":"String"},"gemaakteKosten":{"value":7000,"type":"Double"},"reedsGesubsidieerdEigenaren":{"value":0,"type":"Double"},"reedsGesubsidieerdHuurders":{"value":0,"type":"Double"}}}</t>
  </si>
  <si>
    <t>{"variables":{"aanvraagDatum":{"value":"2026-05-15","type":"String"},"aanvragerType":{"value":"eigenaar","type":"String"},"gemaakteKosten":{"value":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</si>
  <si>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{"variables":{"aanvraagDatum":{"value":"2026-01-12","type":"String"},"aanvragerType":{"value":"eigenaar","type":"String"},"reedsGesubsidieerdEigenaren":{"value":0,"type":"Double"},"reedsGesubsidieerdHuurders":{"value":0,"type":"Double"}}}</t>
  </si>
  <si>
    <t>beschikbaarSubsidiePlafond=437500.0</t>
  </si>
  <si>
    <t>{"variables":{"aanvraagDatum":{"value":"2026-01-11","type":"String"},"aanvragerType":{"value":"eigenaar","type":"String"},"reedsGesubsidieerdEigenaren":{"value":0,"type":"Double"},"reedsGesubsidieerdHuurders":{"value":0,"type":"Double"}}}</t>
  </si>
  <si>
    <t>beschikbaarSubsidiePlafond=0.0</t>
  </si>
  <si>
    <t>{"variables":{"aanvraagDatum":{"value":"2026-09-30","type":"String"},"aanvragerType":{"value":"eigenaar","type":"String"},"reedsGesubsidieerdEigenaren":{"value":50000,"type":"Double"},"reedsGesubsidieerdHuurders":{"value":200000,"type":"Double"}}}</t>
  </si>
  <si>
    <t>beschikbaarSubsidiePlafond=387500.0</t>
  </si>
  <si>
    <t>{"variables":{"aanvraagDatum":{"value":"2026-06-15","type":"String"},"aanvragerType":{"value":"huurder","type":"String"},"reedsGesubsidieerdEigenaren":{"value":0,"type":"Double"},"reedsGesubsidieerdHuurders":{"value":100000,"type":"Double"}}}</t>
  </si>
  <si>
    <t>beschikbaarSubsidiePlafond=337500.0</t>
  </si>
  <si>
    <t>{"variables":{"aanvraagDatum":{"value":"2026-06-15","type":"String"},"aanvragerType":{"value":"eigenaar","type":"String"},"reedsGesubsidieerdEigenaren":{"value":437500,"type":"Double"},"reedsGesubsidieerdHuurders":{"value":0,"type":"Double"}}}</t>
  </si>
  <si>
    <t>{"variables":{"aanvraagDatum":{"value":"2026-06-15","type":"String"},"aanvragerType":{"value":"eigenaar","type":"String"},"reedsGesubsidieerdEigenaren":{"value":500000,"type":"Double"},"reedsGesubsidieerdHuurders":{"value":0,"type":"Double"}}}</t>
  </si>
  <si>
    <t>{"variables":{"aanvraagDatum":{"value":"2026-10-01","type":"String"},"aanvragerType":{"value":"eigenaar","type":"String"},"reedsGesubsidieerdEigenaren":{"value":50000,"type":"Double"},"reedsGesubsidieerdHuurders":{"value":100000,"type":"Double"}}}</t>
  </si>
  <si>
    <t>beschikbaarSubsidiePlafond=725000.0</t>
  </si>
  <si>
    <t>{"variables":{"aanvraagDatum":{"value":"2026-11-15","type":"String"},"aanvragerType":{"value":"huurder","type":"String"},"reedsGesubsidieerdEigenaren":{"value":0,"type":"Double"},"reedsGesubsidieerdHuurders":{"value":200000,"type":"Double"}}}</t>
  </si>
  <si>
    <t>beschikbaarSubsidiePlafond=675000.0</t>
  </si>
  <si>
    <t>{"variables":{"aanvraagDatum":{"value":"2026-12-31","type":"String"},"aanvragerType":{"value":"eigenaar","type":"String"},"reedsGesubsidieerdEigenaren":{"value":0,"type":"Double"},"reedsGesubsidieerdHuurders":{"value":0,"type":"Double"}}}</t>
  </si>
  <si>
    <t>beschikbaarSubsidiePlafond=875000.0</t>
  </si>
  <si>
    <t>{"variables":{"aanvraagDatum":{"value":"2027-01-01","type":"String"},"aanvragerType":{"value":"eigenaar","type":"String"},"reedsGesubsidieerdEigenaren":{"value":0,"type":"Double"},"reedsGesubsidieerdHuurders":{"value":0,"type":"Double"}}}</t>
  </si>
  <si>
    <t>{"variables":{"aanvraagDatum":{"value":"2027-05-15","type":"String"},"aanvragerType":{"value":"huurder","type":"String"},"reedsGesubsidieerdEigenaren":{"value":0,"type":"Double"},"reedsGesubsidieerdHuurders":{"value":87500,"type":"Double"}}}</t>
  </si>
  <si>
    <t>beschikbaarSubsidiePlafond=350000.0</t>
  </si>
  <si>
    <t>{"variables":{"aanvraagDatum":{"value":"2027-09-30","type":"String"},"aanvragerType":{"value":"eigenaar","type":"String"},"reedsGesubsidieerdEigenaren":{"value":0,"type":"Double"},"reedsGesubsidieerdHuurders":{"value":0,"type":"Double"}}}</t>
  </si>
  <si>
    <t>{"variables":{"aanvraagDatum":{"value":"2027-10-01","type":"String"},"aanvragerType":{"value":"eigenaar","type":"String"},"reedsGesubsidieerdEigenaren":{"value":0,"type":"Double"},"reedsGesubsidieerdHuurders":{"value":0,"type":"Double"}}}</t>
  </si>
  <si>
    <t>beschikbaarSubsidiePlafond=1000000.0</t>
  </si>
  <si>
    <t>{"variables":{"aanvraagDatum":{"value":"2027-12-31","type":"String"},"aanvragerType":{"value":"huurder","type":"String"},"reedsGesubsidieerdEigenaren":{"value":200000,"type":"Double"},"reedsGesubsidieerdHuurders":{"value":300000,"type":"Double"}}}</t>
  </si>
  <si>
    <t>beschikbaarSubsidiePlafond=500000.0</t>
  </si>
  <si>
    <t>{"variables":{"aanvraagDatum":{"value":"2028-01-01","type":"String"},"aanvragerType":{"value":"eigenaar","type":"String"},"reedsGesubsidieerdEigenaren":{"value":0,"type":"Double"},"reedsGesubsidieerdHuurders":{"value":0,"type":"Double"}}}</t>
  </si>
  <si>
    <t>{"variables":{"aanvraagDatum":{"value":"2026-06-15","type":"String"},"aanvragerType":{"value":"beheerder","type":"String"},"reedsGesubsidieerdEigenaren":{"value":0,"type":"Double"},"reedsGesubsidieerdHuurders":{"value":0,"type":"Double"}}}</t>
  </si>
  <si>
    <t>hoogteSubsidie=1000.0</t>
  </si>
  <si>
    <t>{"variables":{"aanvraagDatum":{"value":"2026-05-15","type":"String"},"aanvragerType":{"value":"eigenaar","type":"String"},"gemaakteKosten":{"value":7000,"type":"Double"},"reedsGesubsidieerdEigenaren":{"value":437000,"type":"Double"},"reedsGesubsidieerdHuurders":{"value":0,"type":"Double"}}}</t>
  </si>
  <si>
    <t>hoogteSubsidie=500.0</t>
  </si>
  <si>
    <t>{"variables":{"aanvraagDatum":{"value":"2026-05-15","type":"String"},"aanvragerType":{"value":"eigenaar","type":"String"},"gemaakteKosten":{"value":7000,"type":"Double"},"reedsGesubsidieerdEigenaren":{"value":436250,"type":"Double"},"reedsGesubsidieerdHuurders":{"value":0,"type":"Double"}}}</t>
  </si>
  <si>
    <t>hoogteSubsidie=1250.0</t>
  </si>
  <si>
    <t>{"variables":{"aanvraagDatum":{"value":"2026-05-15","type":"String"},"aanvragerType":{"value":"eigenaar","type":"String"},"gemaakteKosten":{"value":7000,"type":"Double"},"reedsGesubsidieerdEigenaren":{"value":437500,"type":"Double"},"reedsGesubsidieerdHuurders":{"value":0,"type":"Double"}}}</t>
  </si>
  <si>
    <t>hoogteSubsidie=0.0</t>
  </si>
  <si>
    <t>{"variables":{"aanvraagDatum":{"value":"2026-05-15","type":"String"},"aanvragerType":{"value":"eigenaar","type":"String"},"gemaakteKosten":{"value":2000,"type":"Double"},"reedsGesubsidieerdEigenaren":{"value":0,"type":"Double"},"reedsGesubsidieerdHuurders":{"value":0,"type":"Double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</si>
</sst>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"/>
    </font>
    <font>
      <i/>
      <sz val="11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6"/>
      <color theme="1"/>
      <name val="Aptos Narrow"/>
      <family val="2"/>
      <charset val="1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D9D9D9"/>
      </patternFill>
    </fill>
    <fill>
      <patternFill patternType="solid">
        <fgColor rgb="FFFFFFCC"/>
        <bgColor rgb="FFFFFFFF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0" fillId="0" borderId="0" xfId="0" applyAlignment="1">
      <alignment wrapText="1"/>
    </xf>
    <xf numFmtId="49" fontId="0" fillId="3" borderId="0" xfId="0" applyNumberFormat="1" applyFill="1"/>
    <xf numFmtId="0" fontId="0" fillId="4" borderId="0" xfId="0" applyFill="1"/>
    <xf numFmtId="0" fontId="5" fillId="0" borderId="0" xfId="1" applyAlignment="1">
      <alignment wrapText="1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156082"/>
      <rgbColor rgb="FFC0C0C0"/>
      <rgbColor rgb="FF808080"/>
      <rgbColor rgb="FF9999FF"/>
      <rgbColor rgb="FFA02B93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F9ED5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97132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Test results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Dashboard!$D$5:$D$7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RUN</c:v>
                </c:pt>
              </c:strCache>
            </c:strRef>
          </c:cat>
          <c:val>
            <c:numRef>
              <c:f>Dashboard!$E$5:$E$7</c:f>
              <c:numCache>
                <c:formatCode>General</c:formatCode>
                <c:ptCount val="3"/>
                <c:pt idx="0">
                  <c:v>41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32-4E91-986A-D48CFFC3F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0</xdr:rowOff>
    </xdr:from>
    <xdr:to>
      <xdr:col>8</xdr:col>
      <xdr:colOff>393700</xdr:colOff>
      <xdr:row>25</xdr:row>
      <xdr:rowOff>171450</xdr:rowOff>
    </xdr:to>
    <xdr:graphicFrame macro="">
      <xdr:nvGraphicFramePr>
        <xdr:cNvPr id="2" name="TestResultPieChart">
          <a:extLst>
            <a:ext uri="{FF2B5EF4-FFF2-40B4-BE49-F238E27FC236}">
              <a16:creationId xmlns:a16="http://schemas.microsoft.com/office/drawing/2014/main" id="{7C508486-DE7F-5EDD-5FE3-24E3589F7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63500</xdr:rowOff>
        </xdr:from>
        <xdr:to>
          <xdr:col>25</xdr:col>
          <xdr:colOff>6350</xdr:colOff>
          <xdr:row>4</xdr:row>
          <xdr:rowOff>368300</xdr:rowOff>
        </xdr:to>
        <xdr:sp macro="" textlink="">
          <xdr:nvSpPr>
            <xdr:cNvPr id="2049" name="Button 1" descr="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63500</xdr:rowOff>
        </xdr:from>
        <xdr:to>
          <xdr:col>25</xdr:col>
          <xdr:colOff>6350</xdr:colOff>
          <xdr:row>5</xdr:row>
          <xdr:rowOff>368300</xdr:rowOff>
        </xdr:to>
        <xdr:sp macro="" textlink="">
          <xdr:nvSpPr>
            <xdr:cNvPr id="2050" name="Button 2" descr="Ru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6</xdr:row>
          <xdr:rowOff>63500</xdr:rowOff>
        </xdr:from>
        <xdr:to>
          <xdr:col>25</xdr:col>
          <xdr:colOff>6350</xdr:colOff>
          <xdr:row>6</xdr:row>
          <xdr:rowOff>368300</xdr:rowOff>
        </xdr:to>
        <xdr:sp macro="" textlink="">
          <xdr:nvSpPr>
            <xdr:cNvPr id="2051" name="Button 3" descr="Ru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7</xdr:row>
          <xdr:rowOff>63500</xdr:rowOff>
        </xdr:from>
        <xdr:to>
          <xdr:col>25</xdr:col>
          <xdr:colOff>6350</xdr:colOff>
          <xdr:row>7</xdr:row>
          <xdr:rowOff>368300</xdr:rowOff>
        </xdr:to>
        <xdr:sp macro="" textlink="">
          <xdr:nvSpPr>
            <xdr:cNvPr id="2052" name="Button 4" descr="Ru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63500</xdr:rowOff>
        </xdr:from>
        <xdr:to>
          <xdr:col>25</xdr:col>
          <xdr:colOff>6350</xdr:colOff>
          <xdr:row>8</xdr:row>
          <xdr:rowOff>368300</xdr:rowOff>
        </xdr:to>
        <xdr:sp macro="" textlink="">
          <xdr:nvSpPr>
            <xdr:cNvPr id="2053" name="Button 5" descr="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9</xdr:row>
          <xdr:rowOff>63500</xdr:rowOff>
        </xdr:from>
        <xdr:to>
          <xdr:col>25</xdr:col>
          <xdr:colOff>6350</xdr:colOff>
          <xdr:row>9</xdr:row>
          <xdr:rowOff>368300</xdr:rowOff>
        </xdr:to>
        <xdr:sp macro="" textlink="">
          <xdr:nvSpPr>
            <xdr:cNvPr id="2054" name="Button 6" descr="Ru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</xdr:row>
          <xdr:rowOff>63500</xdr:rowOff>
        </xdr:from>
        <xdr:to>
          <xdr:col>25</xdr:col>
          <xdr:colOff>6350</xdr:colOff>
          <xdr:row>10</xdr:row>
          <xdr:rowOff>368300</xdr:rowOff>
        </xdr:to>
        <xdr:sp macro="" textlink="">
          <xdr:nvSpPr>
            <xdr:cNvPr id="2055" name="Button 7" descr="Ru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63500</xdr:rowOff>
        </xdr:from>
        <xdr:to>
          <xdr:col>25</xdr:col>
          <xdr:colOff>6350</xdr:colOff>
          <xdr:row>11</xdr:row>
          <xdr:rowOff>368300</xdr:rowOff>
        </xdr:to>
        <xdr:sp macro="" textlink="">
          <xdr:nvSpPr>
            <xdr:cNvPr id="2056" name="Button 8" descr="Ru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63500</xdr:rowOff>
        </xdr:from>
        <xdr:to>
          <xdr:col>25</xdr:col>
          <xdr:colOff>6350</xdr:colOff>
          <xdr:row>12</xdr:row>
          <xdr:rowOff>368300</xdr:rowOff>
        </xdr:to>
        <xdr:sp macro="" textlink="">
          <xdr:nvSpPr>
            <xdr:cNvPr id="2057" name="Button 9" descr="Ru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63500</xdr:rowOff>
        </xdr:from>
        <xdr:to>
          <xdr:col>25</xdr:col>
          <xdr:colOff>6350</xdr:colOff>
          <xdr:row>13</xdr:row>
          <xdr:rowOff>368300</xdr:rowOff>
        </xdr:to>
        <xdr:sp macro="" textlink="">
          <xdr:nvSpPr>
            <xdr:cNvPr id="2058" name="Button 10" descr="Ru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63500</xdr:rowOff>
        </xdr:from>
        <xdr:to>
          <xdr:col>25</xdr:col>
          <xdr:colOff>6350</xdr:colOff>
          <xdr:row>14</xdr:row>
          <xdr:rowOff>368300</xdr:rowOff>
        </xdr:to>
        <xdr:sp macro="" textlink="">
          <xdr:nvSpPr>
            <xdr:cNvPr id="2059" name="Button 11" descr="Ru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63500</xdr:rowOff>
        </xdr:from>
        <xdr:to>
          <xdr:col>25</xdr:col>
          <xdr:colOff>6350</xdr:colOff>
          <xdr:row>15</xdr:row>
          <xdr:rowOff>368300</xdr:rowOff>
        </xdr:to>
        <xdr:sp macro="" textlink="">
          <xdr:nvSpPr>
            <xdr:cNvPr id="2060" name="Button 12" descr="Ru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63500</xdr:rowOff>
        </xdr:from>
        <xdr:to>
          <xdr:col>25</xdr:col>
          <xdr:colOff>6350</xdr:colOff>
          <xdr:row>16</xdr:row>
          <xdr:rowOff>368300</xdr:rowOff>
        </xdr:to>
        <xdr:sp macro="" textlink="">
          <xdr:nvSpPr>
            <xdr:cNvPr id="2061" name="Button 13" descr="Ru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63500</xdr:rowOff>
        </xdr:from>
        <xdr:to>
          <xdr:col>25</xdr:col>
          <xdr:colOff>6350</xdr:colOff>
          <xdr:row>17</xdr:row>
          <xdr:rowOff>368300</xdr:rowOff>
        </xdr:to>
        <xdr:sp macro="" textlink="">
          <xdr:nvSpPr>
            <xdr:cNvPr id="2062" name="Button 14" descr="Ru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63500</xdr:rowOff>
        </xdr:from>
        <xdr:to>
          <xdr:col>25</xdr:col>
          <xdr:colOff>6350</xdr:colOff>
          <xdr:row>18</xdr:row>
          <xdr:rowOff>368300</xdr:rowOff>
        </xdr:to>
        <xdr:sp macro="" textlink="">
          <xdr:nvSpPr>
            <xdr:cNvPr id="2063" name="Button 15" descr="Ru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19</xdr:row>
          <xdr:rowOff>63500</xdr:rowOff>
        </xdr:from>
        <xdr:to>
          <xdr:col>25</xdr:col>
          <xdr:colOff>6350</xdr:colOff>
          <xdr:row>19</xdr:row>
          <xdr:rowOff>368300</xdr:rowOff>
        </xdr:to>
        <xdr:sp macro="" textlink="">
          <xdr:nvSpPr>
            <xdr:cNvPr id="2064" name="Button 16" descr="Ru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20</xdr:row>
          <xdr:rowOff>63500</xdr:rowOff>
        </xdr:from>
        <xdr:to>
          <xdr:col>25</xdr:col>
          <xdr:colOff>6350</xdr:colOff>
          <xdr:row>20</xdr:row>
          <xdr:rowOff>368300</xdr:rowOff>
        </xdr:to>
        <xdr:sp macro="" textlink="">
          <xdr:nvSpPr>
            <xdr:cNvPr id="2065" name="Button 17" descr="Ru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63500</xdr:rowOff>
        </xdr:from>
        <xdr:to>
          <xdr:col>25</xdr:col>
          <xdr:colOff>6350</xdr:colOff>
          <xdr:row>21</xdr:row>
          <xdr:rowOff>368300</xdr:rowOff>
        </xdr:to>
        <xdr:sp macro="" textlink="">
          <xdr:nvSpPr>
            <xdr:cNvPr id="2066" name="Button 18" descr="Run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63500</xdr:rowOff>
        </xdr:from>
        <xdr:to>
          <xdr:col>25</xdr:col>
          <xdr:colOff>6350</xdr:colOff>
          <xdr:row>22</xdr:row>
          <xdr:rowOff>368300</xdr:rowOff>
        </xdr:to>
        <xdr:sp macro="" textlink="">
          <xdr:nvSpPr>
            <xdr:cNvPr id="2067" name="Button 19" descr="Ru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63500</xdr:rowOff>
        </xdr:from>
        <xdr:to>
          <xdr:col>25</xdr:col>
          <xdr:colOff>6350</xdr:colOff>
          <xdr:row>23</xdr:row>
          <xdr:rowOff>368300</xdr:rowOff>
        </xdr:to>
        <xdr:sp macro="" textlink="">
          <xdr:nvSpPr>
            <xdr:cNvPr id="2068" name="Button 20" descr="Run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63500</xdr:rowOff>
        </xdr:from>
        <xdr:to>
          <xdr:col>25</xdr:col>
          <xdr:colOff>6350</xdr:colOff>
          <xdr:row>24</xdr:row>
          <xdr:rowOff>368300</xdr:rowOff>
        </xdr:to>
        <xdr:sp macro="" textlink="">
          <xdr:nvSpPr>
            <xdr:cNvPr id="2069" name="Button 21" descr="Run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63500</xdr:rowOff>
        </xdr:from>
        <xdr:to>
          <xdr:col>25</xdr:col>
          <xdr:colOff>6350</xdr:colOff>
          <xdr:row>25</xdr:row>
          <xdr:rowOff>368300</xdr:rowOff>
        </xdr:to>
        <xdr:sp macro="" textlink="">
          <xdr:nvSpPr>
            <xdr:cNvPr id="2070" name="Button 22" descr="Run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26</xdr:row>
          <xdr:rowOff>63500</xdr:rowOff>
        </xdr:from>
        <xdr:to>
          <xdr:col>25</xdr:col>
          <xdr:colOff>6350</xdr:colOff>
          <xdr:row>26</xdr:row>
          <xdr:rowOff>368300</xdr:rowOff>
        </xdr:to>
        <xdr:sp macro="" textlink="">
          <xdr:nvSpPr>
            <xdr:cNvPr id="2071" name="Button 23" descr="Run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63500</xdr:rowOff>
        </xdr:from>
        <xdr:to>
          <xdr:col>25</xdr:col>
          <xdr:colOff>6350</xdr:colOff>
          <xdr:row>27</xdr:row>
          <xdr:rowOff>368300</xdr:rowOff>
        </xdr:to>
        <xdr:sp macro="" textlink="">
          <xdr:nvSpPr>
            <xdr:cNvPr id="2072" name="Button 24" descr="Ru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63500</xdr:rowOff>
        </xdr:from>
        <xdr:to>
          <xdr:col>25</xdr:col>
          <xdr:colOff>6350</xdr:colOff>
          <xdr:row>28</xdr:row>
          <xdr:rowOff>368300</xdr:rowOff>
        </xdr:to>
        <xdr:sp macro="" textlink="">
          <xdr:nvSpPr>
            <xdr:cNvPr id="2073" name="Button 25" descr="Run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63500</xdr:rowOff>
        </xdr:from>
        <xdr:to>
          <xdr:col>25</xdr:col>
          <xdr:colOff>6350</xdr:colOff>
          <xdr:row>29</xdr:row>
          <xdr:rowOff>368300</xdr:rowOff>
        </xdr:to>
        <xdr:sp macro="" textlink="">
          <xdr:nvSpPr>
            <xdr:cNvPr id="2074" name="Button 26" descr="Run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63500</xdr:rowOff>
        </xdr:from>
        <xdr:to>
          <xdr:col>25</xdr:col>
          <xdr:colOff>6350</xdr:colOff>
          <xdr:row>30</xdr:row>
          <xdr:rowOff>368300</xdr:rowOff>
        </xdr:to>
        <xdr:sp macro="" textlink="">
          <xdr:nvSpPr>
            <xdr:cNvPr id="2075" name="Button 27" descr="Run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63500</xdr:rowOff>
        </xdr:from>
        <xdr:to>
          <xdr:col>25</xdr:col>
          <xdr:colOff>6350</xdr:colOff>
          <xdr:row>31</xdr:row>
          <xdr:rowOff>368300</xdr:rowOff>
        </xdr:to>
        <xdr:sp macro="" textlink="">
          <xdr:nvSpPr>
            <xdr:cNvPr id="2076" name="Button 28" descr="Run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63500</xdr:rowOff>
        </xdr:from>
        <xdr:to>
          <xdr:col>25</xdr:col>
          <xdr:colOff>6350</xdr:colOff>
          <xdr:row>32</xdr:row>
          <xdr:rowOff>368300</xdr:rowOff>
        </xdr:to>
        <xdr:sp macro="" textlink="">
          <xdr:nvSpPr>
            <xdr:cNvPr id="2077" name="Button 29" descr="Run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63500</xdr:rowOff>
        </xdr:from>
        <xdr:to>
          <xdr:col>25</xdr:col>
          <xdr:colOff>6350</xdr:colOff>
          <xdr:row>33</xdr:row>
          <xdr:rowOff>368300</xdr:rowOff>
        </xdr:to>
        <xdr:sp macro="" textlink="">
          <xdr:nvSpPr>
            <xdr:cNvPr id="2078" name="Button 30" descr="Ru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63500</xdr:rowOff>
        </xdr:from>
        <xdr:to>
          <xdr:col>25</xdr:col>
          <xdr:colOff>6350</xdr:colOff>
          <xdr:row>34</xdr:row>
          <xdr:rowOff>368300</xdr:rowOff>
        </xdr:to>
        <xdr:sp macro="" textlink="">
          <xdr:nvSpPr>
            <xdr:cNvPr id="2079" name="Button 31" descr="Ru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63500</xdr:rowOff>
        </xdr:from>
        <xdr:to>
          <xdr:col>25</xdr:col>
          <xdr:colOff>6350</xdr:colOff>
          <xdr:row>35</xdr:row>
          <xdr:rowOff>368300</xdr:rowOff>
        </xdr:to>
        <xdr:sp macro="" textlink="">
          <xdr:nvSpPr>
            <xdr:cNvPr id="2080" name="Button 32" descr="Run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36</xdr:row>
          <xdr:rowOff>63500</xdr:rowOff>
        </xdr:from>
        <xdr:to>
          <xdr:col>25</xdr:col>
          <xdr:colOff>6350</xdr:colOff>
          <xdr:row>36</xdr:row>
          <xdr:rowOff>368300</xdr:rowOff>
        </xdr:to>
        <xdr:sp macro="" textlink="">
          <xdr:nvSpPr>
            <xdr:cNvPr id="2081" name="Button 33" descr="Ru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37</xdr:row>
          <xdr:rowOff>63500</xdr:rowOff>
        </xdr:from>
        <xdr:to>
          <xdr:col>25</xdr:col>
          <xdr:colOff>6350</xdr:colOff>
          <xdr:row>37</xdr:row>
          <xdr:rowOff>368300</xdr:rowOff>
        </xdr:to>
        <xdr:sp macro="" textlink="">
          <xdr:nvSpPr>
            <xdr:cNvPr id="2082" name="Button 34" descr="Ru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63500</xdr:rowOff>
        </xdr:from>
        <xdr:to>
          <xdr:col>25</xdr:col>
          <xdr:colOff>6350</xdr:colOff>
          <xdr:row>38</xdr:row>
          <xdr:rowOff>368300</xdr:rowOff>
        </xdr:to>
        <xdr:sp macro="" textlink="">
          <xdr:nvSpPr>
            <xdr:cNvPr id="2083" name="Button 35" descr="Run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63500</xdr:rowOff>
        </xdr:from>
        <xdr:to>
          <xdr:col>25</xdr:col>
          <xdr:colOff>6350</xdr:colOff>
          <xdr:row>39</xdr:row>
          <xdr:rowOff>368300</xdr:rowOff>
        </xdr:to>
        <xdr:sp macro="" textlink="">
          <xdr:nvSpPr>
            <xdr:cNvPr id="2084" name="Button 36" descr="Run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63500</xdr:rowOff>
        </xdr:from>
        <xdr:to>
          <xdr:col>25</xdr:col>
          <xdr:colOff>6350</xdr:colOff>
          <xdr:row>40</xdr:row>
          <xdr:rowOff>368300</xdr:rowOff>
        </xdr:to>
        <xdr:sp macro="" textlink="">
          <xdr:nvSpPr>
            <xdr:cNvPr id="2085" name="Button 37" descr="Run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63500</xdr:rowOff>
        </xdr:from>
        <xdr:to>
          <xdr:col>25</xdr:col>
          <xdr:colOff>6350</xdr:colOff>
          <xdr:row>41</xdr:row>
          <xdr:rowOff>368300</xdr:rowOff>
        </xdr:to>
        <xdr:sp macro="" textlink="">
          <xdr:nvSpPr>
            <xdr:cNvPr id="2086" name="Button 38" descr="Ru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63500</xdr:rowOff>
        </xdr:from>
        <xdr:to>
          <xdr:col>25</xdr:col>
          <xdr:colOff>6350</xdr:colOff>
          <xdr:row>42</xdr:row>
          <xdr:rowOff>368300</xdr:rowOff>
        </xdr:to>
        <xdr:sp macro="" textlink="">
          <xdr:nvSpPr>
            <xdr:cNvPr id="2087" name="Button 39" descr="Run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63500</xdr:rowOff>
        </xdr:from>
        <xdr:to>
          <xdr:col>25</xdr:col>
          <xdr:colOff>6350</xdr:colOff>
          <xdr:row>43</xdr:row>
          <xdr:rowOff>368300</xdr:rowOff>
        </xdr:to>
        <xdr:sp macro="" textlink="">
          <xdr:nvSpPr>
            <xdr:cNvPr id="2088" name="Button 40" descr="Ru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44</xdr:row>
          <xdr:rowOff>63500</xdr:rowOff>
        </xdr:from>
        <xdr:to>
          <xdr:col>25</xdr:col>
          <xdr:colOff>6350</xdr:colOff>
          <xdr:row>44</xdr:row>
          <xdr:rowOff>368300</xdr:rowOff>
        </xdr:to>
        <xdr:sp macro="" textlink="">
          <xdr:nvSpPr>
            <xdr:cNvPr id="2089" name="Button 41" descr="Ru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41" Type="http://schemas.openxmlformats.org/officeDocument/2006/relationships/ctrlProp" Target="../ctrlProps/ctrlProp39.xml"/><Relationship Id="rId1" Type="http://schemas.openxmlformats.org/officeDocument/2006/relationships/hyperlink" Target="https://operaton.open-regels.nl/engine-rest/decision-definition/key/RechtOpSubsidieThuisbatterij/tenant-id/46/evaluate" TargetMode="Externa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E7"/>
  <sheetViews>
    <sheetView workbookViewId="0">
      <selection activeCell="A19" sqref="A19"/>
    </sheetView>
  </sheetViews>
  <sheetFormatPr defaultRowHeight="14.5" x14ac:dyDescent="0.35"/>
  <cols>
    <col min="1" max="5" width="18.6328125" customWidth="1"/>
  </cols>
  <sheetData>
    <row r="1" spans="1:5" ht="21" x14ac:dyDescent="0.5">
      <c r="A1" s="4" t="s">
        <v>178</v>
      </c>
    </row>
    <row r="2" spans="1:5" x14ac:dyDescent="0.35">
      <c r="A2" s="2" t="s">
        <v>179</v>
      </c>
    </row>
    <row r="4" spans="1:5" x14ac:dyDescent="0.35">
      <c r="A4" s="3" t="s">
        <v>0</v>
      </c>
      <c r="B4" s="3">
        <v>41</v>
      </c>
      <c r="D4" s="3" t="s">
        <v>1</v>
      </c>
      <c r="E4" s="3" t="s">
        <v>2</v>
      </c>
    </row>
    <row r="5" spans="1:5" x14ac:dyDescent="0.35">
      <c r="A5" s="1" t="s">
        <v>3</v>
      </c>
      <c r="B5" s="1">
        <v>41</v>
      </c>
      <c r="D5" t="s">
        <v>4</v>
      </c>
      <c r="E5">
        <v>41</v>
      </c>
    </row>
    <row r="6" spans="1:5" x14ac:dyDescent="0.35">
      <c r="A6" s="1" t="s">
        <v>180</v>
      </c>
      <c r="B6" s="1">
        <v>0</v>
      </c>
      <c r="D6" t="s">
        <v>5</v>
      </c>
      <c r="E6">
        <v>0</v>
      </c>
    </row>
    <row r="7" spans="1:5" x14ac:dyDescent="0.35">
      <c r="A7" s="1" t="s">
        <v>6</v>
      </c>
      <c r="B7" s="1">
        <v>0</v>
      </c>
      <c r="D7" t="s">
        <v>7</v>
      </c>
      <c r="E7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H45"/>
  <sheetViews>
    <sheetView tabSelected="1" topLeftCell="S1" zoomScaleNormal="100" workbookViewId="0">
      <pane ySplit="4" topLeftCell="A41" activePane="bottomLeft" state="frozen"/>
      <selection activeCell="N1" sqref="N1"/>
      <selection pane="bottomLeft" activeCell="V43" sqref="V43"/>
    </sheetView>
  </sheetViews>
  <sheetFormatPr defaultColWidth="8.54296875" defaultRowHeight="14.5" x14ac:dyDescent="0.35"/>
  <cols>
    <col min="1" max="1" width="52" customWidth="1"/>
    <col min="2" max="2" width="10" customWidth="1"/>
    <col min="3" max="3" width="80" customWidth="1"/>
    <col min="4" max="21" width="18" customWidth="1"/>
    <col min="22" max="23" width="32" customWidth="1"/>
    <col min="24" max="25" width="12" customWidth="1"/>
    <col min="26" max="26" width="12" hidden="1" customWidth="1"/>
    <col min="27" max="27" width="22" hidden="1" customWidth="1"/>
    <col min="28" max="28" width="28" customWidth="1"/>
    <col min="29" max="29" width="44" customWidth="1"/>
    <col min="30" max="30" width="70" customWidth="1"/>
    <col min="31" max="33" width="28" customWidth="1"/>
    <col min="34" max="34" width="60" customWidth="1"/>
  </cols>
  <sheetData>
    <row r="1" spans="1:34" ht="21" customHeight="1" x14ac:dyDescent="0.5">
      <c r="A1" s="4" t="s">
        <v>16</v>
      </c>
    </row>
    <row r="2" spans="1:34" x14ac:dyDescent="0.35">
      <c r="A2" s="2" t="s">
        <v>17</v>
      </c>
    </row>
    <row r="4" spans="1:34" x14ac:dyDescent="0.35">
      <c r="A4" s="3" t="s">
        <v>18</v>
      </c>
      <c r="B4" s="3" t="s">
        <v>19</v>
      </c>
      <c r="C4" s="3" t="s">
        <v>20</v>
      </c>
      <c r="D4" s="3" t="s">
        <v>21</v>
      </c>
      <c r="E4" s="3" t="s">
        <v>22</v>
      </c>
      <c r="F4" s="3" t="s">
        <v>23</v>
      </c>
      <c r="G4" s="3" t="s">
        <v>24</v>
      </c>
      <c r="H4" s="3" t="s">
        <v>25</v>
      </c>
      <c r="I4" s="3" t="s">
        <v>26</v>
      </c>
      <c r="J4" s="3" t="s">
        <v>27</v>
      </c>
      <c r="K4" s="3" t="s">
        <v>28</v>
      </c>
      <c r="L4" s="3" t="s">
        <v>29</v>
      </c>
      <c r="M4" s="3" t="s">
        <v>30</v>
      </c>
      <c r="N4" s="3" t="s">
        <v>31</v>
      </c>
      <c r="O4" s="3" t="s">
        <v>32</v>
      </c>
      <c r="P4" s="3" t="s">
        <v>33</v>
      </c>
      <c r="Q4" s="3" t="s">
        <v>34</v>
      </c>
      <c r="R4" s="3" t="s">
        <v>35</v>
      </c>
      <c r="S4" s="3" t="s">
        <v>36</v>
      </c>
      <c r="T4" s="3" t="s">
        <v>37</v>
      </c>
      <c r="U4" s="3" t="s">
        <v>38</v>
      </c>
      <c r="V4" s="3" t="s">
        <v>39</v>
      </c>
      <c r="W4" s="3" t="s">
        <v>40</v>
      </c>
      <c r="X4" s="3" t="s">
        <v>41</v>
      </c>
      <c r="Y4" s="3" t="s">
        <v>9</v>
      </c>
      <c r="Z4" s="3" t="s">
        <v>42</v>
      </c>
      <c r="AA4" s="3" t="s">
        <v>43</v>
      </c>
      <c r="AB4" s="3" t="s">
        <v>44</v>
      </c>
      <c r="AC4" s="3" t="s">
        <v>45</v>
      </c>
      <c r="AD4" s="3" t="s">
        <v>46</v>
      </c>
      <c r="AE4" s="3" t="s">
        <v>8</v>
      </c>
      <c r="AF4" s="3" t="s">
        <v>47</v>
      </c>
      <c r="AG4" s="3" t="s">
        <v>48</v>
      </c>
      <c r="AH4" s="3" t="s">
        <v>49</v>
      </c>
    </row>
    <row r="5" spans="1:34" ht="69.75" customHeight="1" x14ac:dyDescent="0.35">
      <c r="A5" t="s">
        <v>50</v>
      </c>
      <c r="B5" t="s">
        <v>51</v>
      </c>
      <c r="C5" s="8" t="s">
        <v>52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 t="b">
        <f>TRUE()</f>
        <v>1</v>
      </c>
      <c r="R5" s="6" t="s">
        <v>53</v>
      </c>
      <c r="S5" s="6" t="b">
        <f>TRUE()</f>
        <v>1</v>
      </c>
      <c r="T5" s="6" t="s">
        <v>54</v>
      </c>
      <c r="U5" s="6" t="b">
        <f>TRUE()</f>
        <v>1</v>
      </c>
      <c r="V5" s="5" t="s">
        <v>182</v>
      </c>
      <c r="W5" s="5" t="s">
        <v>182</v>
      </c>
      <c r="X5" s="7" t="s">
        <v>4</v>
      </c>
      <c r="Y5" t="s">
        <v>9</v>
      </c>
      <c r="Z5" t="s">
        <v>55</v>
      </c>
      <c r="AA5" t="s">
        <v>56</v>
      </c>
      <c r="AB5" s="5" t="s">
        <v>57</v>
      </c>
      <c r="AC5" t="s">
        <v>58</v>
      </c>
      <c r="AD5" s="5" t="s">
        <v>181</v>
      </c>
      <c r="AE5" t="s">
        <v>10</v>
      </c>
      <c r="AF5" s="5"/>
      <c r="AH5" s="5" t="s">
        <v>59</v>
      </c>
    </row>
    <row r="6" spans="1:34" ht="69.75" customHeight="1" x14ac:dyDescent="0.35">
      <c r="A6" t="s">
        <v>60</v>
      </c>
      <c r="B6" t="s">
        <v>51</v>
      </c>
      <c r="C6" s="5" t="s">
        <v>52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 t="b">
        <f>FALSE()</f>
        <v>0</v>
      </c>
      <c r="R6" s="6" t="s">
        <v>61</v>
      </c>
      <c r="S6" s="6" t="b">
        <f>TRUE()</f>
        <v>1</v>
      </c>
      <c r="T6" s="6" t="s">
        <v>54</v>
      </c>
      <c r="U6" s="6" t="b">
        <f>TRUE()</f>
        <v>1</v>
      </c>
      <c r="V6" s="5" t="s">
        <v>184</v>
      </c>
      <c r="W6" s="5" t="s">
        <v>184</v>
      </c>
      <c r="X6" s="7" t="s">
        <v>4</v>
      </c>
      <c r="Y6" t="s">
        <v>9</v>
      </c>
      <c r="Z6" t="s">
        <v>55</v>
      </c>
      <c r="AA6" t="s">
        <v>56</v>
      </c>
      <c r="AB6" s="5" t="s">
        <v>57</v>
      </c>
      <c r="AC6" t="s">
        <v>58</v>
      </c>
      <c r="AD6" s="5" t="s">
        <v>183</v>
      </c>
      <c r="AE6" t="s">
        <v>10</v>
      </c>
      <c r="AF6" s="5"/>
      <c r="AH6" s="5" t="s">
        <v>62</v>
      </c>
    </row>
    <row r="7" spans="1:34" ht="69.75" customHeight="1" x14ac:dyDescent="0.35">
      <c r="A7" t="s">
        <v>63</v>
      </c>
      <c r="B7" t="s">
        <v>51</v>
      </c>
      <c r="C7" s="5" t="s">
        <v>52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 t="b">
        <f>FALSE()</f>
        <v>0</v>
      </c>
      <c r="R7" s="6" t="s">
        <v>53</v>
      </c>
      <c r="S7" s="6" t="b">
        <f>TRUE()</f>
        <v>1</v>
      </c>
      <c r="T7" s="6" t="s">
        <v>64</v>
      </c>
      <c r="U7" s="6" t="b">
        <f>TRUE()</f>
        <v>1</v>
      </c>
      <c r="V7" s="5" t="s">
        <v>186</v>
      </c>
      <c r="W7" s="5" t="s">
        <v>186</v>
      </c>
      <c r="X7" s="7" t="s">
        <v>4</v>
      </c>
      <c r="Y7" t="s">
        <v>9</v>
      </c>
      <c r="Z7" t="s">
        <v>55</v>
      </c>
      <c r="AA7" t="s">
        <v>56</v>
      </c>
      <c r="AB7" s="5" t="s">
        <v>57</v>
      </c>
      <c r="AC7" t="s">
        <v>58</v>
      </c>
      <c r="AD7" s="5" t="s">
        <v>185</v>
      </c>
      <c r="AE7" t="s">
        <v>10</v>
      </c>
      <c r="AF7" s="5"/>
      <c r="AH7" s="5" t="s">
        <v>65</v>
      </c>
    </row>
    <row r="8" spans="1:34" ht="69.75" customHeight="1" x14ac:dyDescent="0.35">
      <c r="A8" t="s">
        <v>66</v>
      </c>
      <c r="B8" t="s">
        <v>51</v>
      </c>
      <c r="C8" s="5" t="s">
        <v>52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 t="b">
        <f>FALSE()</f>
        <v>0</v>
      </c>
      <c r="R8" s="6" t="s">
        <v>53</v>
      </c>
      <c r="S8" s="6" t="b">
        <f>TRUE()</f>
        <v>1</v>
      </c>
      <c r="T8" s="6" t="s">
        <v>67</v>
      </c>
      <c r="U8" s="6" t="b">
        <f>FALSE()</f>
        <v>0</v>
      </c>
      <c r="V8" s="5" t="s">
        <v>188</v>
      </c>
      <c r="W8" s="5" t="s">
        <v>188</v>
      </c>
      <c r="X8" s="7" t="s">
        <v>4</v>
      </c>
      <c r="Y8" t="s">
        <v>9</v>
      </c>
      <c r="Z8" t="s">
        <v>55</v>
      </c>
      <c r="AA8" t="s">
        <v>56</v>
      </c>
      <c r="AB8" s="5" t="s">
        <v>57</v>
      </c>
      <c r="AC8" t="s">
        <v>58</v>
      </c>
      <c r="AD8" s="5" t="s">
        <v>187</v>
      </c>
      <c r="AE8" t="s">
        <v>10</v>
      </c>
      <c r="AF8" s="5"/>
      <c r="AH8" s="5" t="s">
        <v>68</v>
      </c>
    </row>
    <row r="9" spans="1:34" ht="69.75" customHeight="1" x14ac:dyDescent="0.35">
      <c r="A9" t="s">
        <v>69</v>
      </c>
      <c r="B9" t="s">
        <v>51</v>
      </c>
      <c r="C9" s="5" t="s">
        <v>52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 t="b">
        <f>FALSE()</f>
        <v>0</v>
      </c>
      <c r="R9" s="6" t="s">
        <v>53</v>
      </c>
      <c r="S9" s="6" t="b">
        <f>FALSE()</f>
        <v>0</v>
      </c>
      <c r="T9" s="6" t="s">
        <v>54</v>
      </c>
      <c r="U9" s="6" t="b">
        <f>TRUE()</f>
        <v>1</v>
      </c>
      <c r="V9" s="5" t="s">
        <v>182</v>
      </c>
      <c r="W9" s="5" t="s">
        <v>182</v>
      </c>
      <c r="X9" s="7" t="s">
        <v>4</v>
      </c>
      <c r="Y9" t="s">
        <v>9</v>
      </c>
      <c r="Z9" t="s">
        <v>55</v>
      </c>
      <c r="AA9" t="s">
        <v>56</v>
      </c>
      <c r="AB9" s="5" t="s">
        <v>57</v>
      </c>
      <c r="AC9" t="s">
        <v>58</v>
      </c>
      <c r="AD9" s="5" t="s">
        <v>181</v>
      </c>
      <c r="AE9" t="s">
        <v>10</v>
      </c>
      <c r="AF9" s="5"/>
      <c r="AH9" s="5" t="s">
        <v>70</v>
      </c>
    </row>
    <row r="10" spans="1:34" ht="69.75" customHeight="1" x14ac:dyDescent="0.35">
      <c r="A10" t="s">
        <v>71</v>
      </c>
      <c r="B10" t="s">
        <v>51</v>
      </c>
      <c r="C10" s="5" t="s">
        <v>52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b">
        <f>FALSE()</f>
        <v>0</v>
      </c>
      <c r="R10" s="6" t="s">
        <v>53</v>
      </c>
      <c r="S10" s="6" t="b">
        <f>TRUE()</f>
        <v>1</v>
      </c>
      <c r="T10" s="6" t="s">
        <v>54</v>
      </c>
      <c r="U10" s="6" t="b">
        <f>TRUE()</f>
        <v>1</v>
      </c>
      <c r="V10" s="5" t="s">
        <v>182</v>
      </c>
      <c r="W10" s="5" t="s">
        <v>182</v>
      </c>
      <c r="X10" s="7" t="s">
        <v>4</v>
      </c>
      <c r="Y10" t="s">
        <v>9</v>
      </c>
      <c r="Z10" t="s">
        <v>55</v>
      </c>
      <c r="AA10" t="s">
        <v>56</v>
      </c>
      <c r="AB10" s="5" t="s">
        <v>57</v>
      </c>
      <c r="AC10" t="s">
        <v>58</v>
      </c>
      <c r="AD10" s="5" t="s">
        <v>181</v>
      </c>
      <c r="AE10" t="s">
        <v>10</v>
      </c>
      <c r="AF10" s="5"/>
      <c r="AH10" s="5" t="s">
        <v>72</v>
      </c>
    </row>
    <row r="11" spans="1:34" ht="69.75" customHeight="1" x14ac:dyDescent="0.35">
      <c r="A11" t="s">
        <v>73</v>
      </c>
      <c r="B11" t="s">
        <v>51</v>
      </c>
      <c r="C11" s="5" t="s">
        <v>52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 t="b">
        <f>FALSE()</f>
        <v>0</v>
      </c>
      <c r="R11" s="6" t="s">
        <v>53</v>
      </c>
      <c r="S11" s="6" t="b">
        <f>TRUE()</f>
        <v>1</v>
      </c>
      <c r="T11" s="6" t="s">
        <v>54</v>
      </c>
      <c r="U11" s="6" t="b">
        <f>FALSE()</f>
        <v>0</v>
      </c>
      <c r="V11" s="5" t="s">
        <v>182</v>
      </c>
      <c r="W11" s="5" t="s">
        <v>182</v>
      </c>
      <c r="X11" s="7" t="s">
        <v>4</v>
      </c>
      <c r="Y11" t="s">
        <v>9</v>
      </c>
      <c r="Z11" t="s">
        <v>55</v>
      </c>
      <c r="AA11" t="s">
        <v>56</v>
      </c>
      <c r="AB11" s="5" t="s">
        <v>57</v>
      </c>
      <c r="AC11" t="s">
        <v>58</v>
      </c>
      <c r="AD11" s="5" t="s">
        <v>181</v>
      </c>
      <c r="AE11" t="s">
        <v>10</v>
      </c>
      <c r="AF11" s="5"/>
      <c r="AH11" s="5" t="s">
        <v>74</v>
      </c>
    </row>
    <row r="12" spans="1:34" ht="69.75" customHeight="1" x14ac:dyDescent="0.35">
      <c r="A12" t="s">
        <v>75</v>
      </c>
      <c r="B12" t="s">
        <v>51</v>
      </c>
      <c r="C12" s="5" t="s">
        <v>52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 t="b">
        <f>FALSE()</f>
        <v>0</v>
      </c>
      <c r="R12" s="6" t="s">
        <v>53</v>
      </c>
      <c r="S12" s="6" t="b">
        <f>TRUE()</f>
        <v>1</v>
      </c>
      <c r="T12" s="6" t="s">
        <v>67</v>
      </c>
      <c r="U12" s="6" t="b">
        <f>TRUE()</f>
        <v>1</v>
      </c>
      <c r="V12" s="5" t="s">
        <v>188</v>
      </c>
      <c r="W12" s="5" t="s">
        <v>188</v>
      </c>
      <c r="X12" s="7" t="s">
        <v>4</v>
      </c>
      <c r="Y12" t="s">
        <v>9</v>
      </c>
      <c r="Z12" t="s">
        <v>55</v>
      </c>
      <c r="AA12" t="s">
        <v>56</v>
      </c>
      <c r="AB12" s="5" t="s">
        <v>57</v>
      </c>
      <c r="AC12" t="s">
        <v>58</v>
      </c>
      <c r="AD12" s="5" t="s">
        <v>187</v>
      </c>
      <c r="AE12" t="s">
        <v>10</v>
      </c>
      <c r="AF12" s="5"/>
      <c r="AH12" s="5" t="s">
        <v>76</v>
      </c>
    </row>
    <row r="13" spans="1:34" ht="69.75" customHeight="1" x14ac:dyDescent="0.35">
      <c r="A13" t="s">
        <v>77</v>
      </c>
      <c r="B13" t="s">
        <v>51</v>
      </c>
      <c r="C13" s="5" t="s">
        <v>52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 t="b">
        <f>FALSE()</f>
        <v>0</v>
      </c>
      <c r="R13" s="6" t="s">
        <v>53</v>
      </c>
      <c r="S13" s="6" t="b">
        <f>TRUE()</f>
        <v>1</v>
      </c>
      <c r="T13" s="6" t="s">
        <v>78</v>
      </c>
      <c r="U13" s="6" t="b">
        <f>TRUE()</f>
        <v>1</v>
      </c>
      <c r="V13" s="5" t="s">
        <v>186</v>
      </c>
      <c r="W13" s="5" t="s">
        <v>186</v>
      </c>
      <c r="X13" s="7" t="s">
        <v>4</v>
      </c>
      <c r="Y13" t="s">
        <v>9</v>
      </c>
      <c r="Z13" t="s">
        <v>55</v>
      </c>
      <c r="AA13" t="s">
        <v>56</v>
      </c>
      <c r="AB13" s="5" t="s">
        <v>57</v>
      </c>
      <c r="AC13" t="s">
        <v>58</v>
      </c>
      <c r="AD13" s="5" t="s">
        <v>189</v>
      </c>
      <c r="AE13" t="s">
        <v>10</v>
      </c>
      <c r="AF13" s="5"/>
      <c r="AH13" s="5" t="s">
        <v>79</v>
      </c>
    </row>
    <row r="14" spans="1:34" ht="69.75" customHeight="1" x14ac:dyDescent="0.35">
      <c r="A14" t="s">
        <v>80</v>
      </c>
      <c r="B14" t="s">
        <v>51</v>
      </c>
      <c r="C14" s="5" t="s">
        <v>81</v>
      </c>
      <c r="D14" s="6" t="s">
        <v>82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5" t="s">
        <v>190</v>
      </c>
      <c r="W14" s="5" t="s">
        <v>190</v>
      </c>
      <c r="X14" s="7" t="s">
        <v>4</v>
      </c>
      <c r="Y14" t="s">
        <v>9</v>
      </c>
      <c r="Z14" t="s">
        <v>55</v>
      </c>
      <c r="AA14" t="s">
        <v>56</v>
      </c>
      <c r="AB14" s="5" t="s">
        <v>83</v>
      </c>
      <c r="AC14" t="s">
        <v>84</v>
      </c>
      <c r="AD14" s="5" t="s">
        <v>85</v>
      </c>
      <c r="AE14" t="s">
        <v>15</v>
      </c>
      <c r="AF14" s="5"/>
      <c r="AH14" s="5" t="s">
        <v>86</v>
      </c>
    </row>
    <row r="15" spans="1:34" ht="69.75" customHeight="1" x14ac:dyDescent="0.35">
      <c r="A15" t="s">
        <v>87</v>
      </c>
      <c r="B15" t="s">
        <v>51</v>
      </c>
      <c r="C15" s="5" t="s">
        <v>81</v>
      </c>
      <c r="D15" s="6" t="s">
        <v>88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5" t="s">
        <v>190</v>
      </c>
      <c r="W15" s="5" t="s">
        <v>190</v>
      </c>
      <c r="X15" s="7" t="s">
        <v>4</v>
      </c>
      <c r="Y15" t="s">
        <v>9</v>
      </c>
      <c r="Z15" t="s">
        <v>55</v>
      </c>
      <c r="AA15" t="s">
        <v>56</v>
      </c>
      <c r="AB15" s="5" t="s">
        <v>83</v>
      </c>
      <c r="AC15" t="s">
        <v>84</v>
      </c>
      <c r="AD15" s="5" t="s">
        <v>89</v>
      </c>
      <c r="AE15" t="s">
        <v>15</v>
      </c>
      <c r="AF15" s="5"/>
      <c r="AH15" s="5" t="s">
        <v>90</v>
      </c>
    </row>
    <row r="16" spans="1:34" ht="69.75" customHeight="1" x14ac:dyDescent="0.35">
      <c r="A16" t="s">
        <v>91</v>
      </c>
      <c r="B16" t="s">
        <v>51</v>
      </c>
      <c r="C16" s="5" t="s">
        <v>81</v>
      </c>
      <c r="D16" s="6" t="s">
        <v>92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5" t="s">
        <v>191</v>
      </c>
      <c r="W16" s="5" t="s">
        <v>191</v>
      </c>
      <c r="X16" s="7" t="s">
        <v>4</v>
      </c>
      <c r="Y16" t="s">
        <v>9</v>
      </c>
      <c r="Z16" t="s">
        <v>55</v>
      </c>
      <c r="AA16" t="s">
        <v>56</v>
      </c>
      <c r="AB16" s="5"/>
      <c r="AC16" t="s">
        <v>84</v>
      </c>
      <c r="AD16" s="5" t="s">
        <v>93</v>
      </c>
      <c r="AE16" t="s">
        <v>15</v>
      </c>
      <c r="AF16" s="5"/>
      <c r="AH16" s="5" t="s">
        <v>94</v>
      </c>
    </row>
    <row r="17" spans="1:34" ht="69.75" customHeight="1" x14ac:dyDescent="0.35">
      <c r="A17" t="s">
        <v>95</v>
      </c>
      <c r="B17" t="s">
        <v>51</v>
      </c>
      <c r="C17" s="5" t="s">
        <v>81</v>
      </c>
      <c r="D17" s="6" t="s">
        <v>96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5" t="s">
        <v>191</v>
      </c>
      <c r="W17" s="5" t="s">
        <v>191</v>
      </c>
      <c r="X17" s="7" t="s">
        <v>4</v>
      </c>
      <c r="Y17" t="s">
        <v>9</v>
      </c>
      <c r="Z17" t="s">
        <v>55</v>
      </c>
      <c r="AA17" t="s">
        <v>56</v>
      </c>
      <c r="AB17" s="5"/>
      <c r="AC17" t="s">
        <v>84</v>
      </c>
      <c r="AD17" s="5" t="s">
        <v>97</v>
      </c>
      <c r="AE17" t="s">
        <v>15</v>
      </c>
      <c r="AF17" s="5"/>
      <c r="AH17" s="5" t="s">
        <v>98</v>
      </c>
    </row>
    <row r="18" spans="1:34" ht="69.75" customHeight="1" x14ac:dyDescent="0.35">
      <c r="A18" t="s">
        <v>99</v>
      </c>
      <c r="B18" t="s">
        <v>51</v>
      </c>
      <c r="C18" s="5" t="s">
        <v>100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5" t="s">
        <v>192</v>
      </c>
      <c r="W18" s="5" t="s">
        <v>192</v>
      </c>
      <c r="X18" s="7" t="s">
        <v>4</v>
      </c>
      <c r="Y18" t="s">
        <v>9</v>
      </c>
      <c r="Z18" t="s">
        <v>55</v>
      </c>
      <c r="AA18" t="s">
        <v>56</v>
      </c>
      <c r="AB18" s="5" t="s">
        <v>101</v>
      </c>
      <c r="AD18" s="5" t="s">
        <v>102</v>
      </c>
      <c r="AE18" t="s">
        <v>14</v>
      </c>
      <c r="AF18" s="5"/>
      <c r="AH18" s="5" t="s">
        <v>103</v>
      </c>
    </row>
    <row r="19" spans="1:34" ht="69.75" customHeight="1" x14ac:dyDescent="0.35">
      <c r="A19" t="s">
        <v>104</v>
      </c>
      <c r="B19" t="s">
        <v>51</v>
      </c>
      <c r="C19" s="5" t="s">
        <v>105</v>
      </c>
      <c r="D19" s="6" t="s">
        <v>106</v>
      </c>
      <c r="E19" s="6" t="s">
        <v>54</v>
      </c>
      <c r="F19" s="6"/>
      <c r="G19" s="6"/>
      <c r="H19" s="6">
        <v>3000</v>
      </c>
      <c r="I19" s="6"/>
      <c r="J19" s="6"/>
      <c r="K19" s="6"/>
      <c r="L19" s="6">
        <v>0</v>
      </c>
      <c r="M19" s="6">
        <v>0</v>
      </c>
      <c r="N19" s="6"/>
      <c r="O19" s="6"/>
      <c r="P19" s="6"/>
      <c r="Q19" s="6"/>
      <c r="R19" s="6"/>
      <c r="S19" s="6"/>
      <c r="T19" s="6"/>
      <c r="U19" s="6"/>
      <c r="V19" s="5" t="s">
        <v>194</v>
      </c>
      <c r="W19" s="5" t="s">
        <v>194</v>
      </c>
      <c r="X19" s="7" t="s">
        <v>4</v>
      </c>
      <c r="Y19" t="s">
        <v>9</v>
      </c>
      <c r="Z19" t="s">
        <v>55</v>
      </c>
      <c r="AA19" t="s">
        <v>56</v>
      </c>
      <c r="AB19" s="5" t="s">
        <v>23</v>
      </c>
      <c r="AC19" t="s">
        <v>107</v>
      </c>
      <c r="AD19" s="5" t="s">
        <v>193</v>
      </c>
      <c r="AE19" t="s">
        <v>12</v>
      </c>
      <c r="AF19" s="5"/>
      <c r="AH19" s="5" t="s">
        <v>108</v>
      </c>
    </row>
    <row r="20" spans="1:34" ht="69.75" customHeight="1" x14ac:dyDescent="0.35">
      <c r="A20" t="s">
        <v>109</v>
      </c>
      <c r="B20" t="s">
        <v>51</v>
      </c>
      <c r="C20" s="5" t="s">
        <v>105</v>
      </c>
      <c r="D20" s="6" t="s">
        <v>106</v>
      </c>
      <c r="E20" s="6" t="s">
        <v>54</v>
      </c>
      <c r="F20" s="6"/>
      <c r="G20" s="6"/>
      <c r="H20" s="6">
        <v>2999</v>
      </c>
      <c r="I20" s="6"/>
      <c r="J20" s="6"/>
      <c r="K20" s="6"/>
      <c r="L20" s="6">
        <v>0</v>
      </c>
      <c r="M20" s="6">
        <v>0</v>
      </c>
      <c r="N20" s="6"/>
      <c r="O20" s="6"/>
      <c r="P20" s="6"/>
      <c r="Q20" s="6"/>
      <c r="R20" s="6"/>
      <c r="S20" s="6"/>
      <c r="T20" s="6"/>
      <c r="U20" s="6"/>
      <c r="V20" s="5" t="s">
        <v>196</v>
      </c>
      <c r="W20" s="5" t="s">
        <v>196</v>
      </c>
      <c r="X20" s="7" t="s">
        <v>4</v>
      </c>
      <c r="Y20" t="s">
        <v>9</v>
      </c>
      <c r="Z20" t="s">
        <v>55</v>
      </c>
      <c r="AA20" t="s">
        <v>56</v>
      </c>
      <c r="AB20" s="5" t="s">
        <v>23</v>
      </c>
      <c r="AC20" t="s">
        <v>107</v>
      </c>
      <c r="AD20" s="5" t="s">
        <v>195</v>
      </c>
      <c r="AE20" t="s">
        <v>12</v>
      </c>
      <c r="AF20" s="5"/>
      <c r="AH20" s="5" t="s">
        <v>110</v>
      </c>
    </row>
    <row r="21" spans="1:34" ht="69.75" customHeight="1" x14ac:dyDescent="0.35">
      <c r="A21" t="s">
        <v>111</v>
      </c>
      <c r="B21" t="s">
        <v>51</v>
      </c>
      <c r="C21" s="5" t="s">
        <v>105</v>
      </c>
      <c r="D21" s="6" t="s">
        <v>106</v>
      </c>
      <c r="E21" s="6" t="s">
        <v>54</v>
      </c>
      <c r="F21" s="6"/>
      <c r="G21" s="6"/>
      <c r="H21" s="6">
        <v>4000</v>
      </c>
      <c r="I21" s="6"/>
      <c r="J21" s="6"/>
      <c r="K21" s="6"/>
      <c r="L21" s="6">
        <v>0</v>
      </c>
      <c r="M21" s="6">
        <v>0</v>
      </c>
      <c r="N21" s="6"/>
      <c r="O21" s="6"/>
      <c r="P21" s="6"/>
      <c r="Q21" s="6"/>
      <c r="R21" s="6"/>
      <c r="S21" s="6"/>
      <c r="T21" s="6"/>
      <c r="U21" s="6"/>
      <c r="V21" s="5" t="s">
        <v>198</v>
      </c>
      <c r="W21" s="5" t="s">
        <v>198</v>
      </c>
      <c r="X21" s="7" t="s">
        <v>4</v>
      </c>
      <c r="Y21" t="s">
        <v>9</v>
      </c>
      <c r="Z21" t="s">
        <v>55</v>
      </c>
      <c r="AA21" t="s">
        <v>56</v>
      </c>
      <c r="AB21" s="5" t="s">
        <v>23</v>
      </c>
      <c r="AC21" t="s">
        <v>107</v>
      </c>
      <c r="AD21" s="5" t="s">
        <v>197</v>
      </c>
      <c r="AE21" t="s">
        <v>12</v>
      </c>
      <c r="AF21" s="5"/>
      <c r="AH21" s="5" t="s">
        <v>112</v>
      </c>
    </row>
    <row r="22" spans="1:34" ht="69.75" customHeight="1" x14ac:dyDescent="0.35">
      <c r="A22" t="s">
        <v>113</v>
      </c>
      <c r="B22" t="s">
        <v>51</v>
      </c>
      <c r="C22" s="5" t="s">
        <v>105</v>
      </c>
      <c r="D22" s="6" t="s">
        <v>106</v>
      </c>
      <c r="E22" s="6" t="s">
        <v>54</v>
      </c>
      <c r="F22" s="6"/>
      <c r="G22" s="6"/>
      <c r="H22" s="6">
        <v>5000</v>
      </c>
      <c r="I22" s="6"/>
      <c r="J22" s="6"/>
      <c r="K22" s="6"/>
      <c r="L22" s="6">
        <v>0</v>
      </c>
      <c r="M22" s="6">
        <v>0</v>
      </c>
      <c r="N22" s="6"/>
      <c r="O22" s="6"/>
      <c r="P22" s="6"/>
      <c r="Q22" s="6"/>
      <c r="R22" s="6"/>
      <c r="S22" s="6"/>
      <c r="T22" s="6"/>
      <c r="U22" s="6"/>
      <c r="V22" s="5" t="s">
        <v>200</v>
      </c>
      <c r="W22" s="5" t="s">
        <v>200</v>
      </c>
      <c r="X22" s="7" t="s">
        <v>4</v>
      </c>
      <c r="Y22" t="s">
        <v>9</v>
      </c>
      <c r="Z22" t="s">
        <v>55</v>
      </c>
      <c r="AA22" t="s">
        <v>56</v>
      </c>
      <c r="AB22" s="5" t="s">
        <v>23</v>
      </c>
      <c r="AC22" t="s">
        <v>107</v>
      </c>
      <c r="AD22" s="5" t="s">
        <v>199</v>
      </c>
      <c r="AE22" t="s">
        <v>12</v>
      </c>
      <c r="AF22" s="5"/>
      <c r="AH22" s="5" t="s">
        <v>114</v>
      </c>
    </row>
    <row r="23" spans="1:34" ht="69.75" customHeight="1" x14ac:dyDescent="0.35">
      <c r="A23" t="s">
        <v>115</v>
      </c>
      <c r="B23" t="s">
        <v>51</v>
      </c>
      <c r="C23" s="5" t="s">
        <v>105</v>
      </c>
      <c r="D23" s="6" t="s">
        <v>106</v>
      </c>
      <c r="E23" s="6" t="s">
        <v>54</v>
      </c>
      <c r="F23" s="6"/>
      <c r="G23" s="6"/>
      <c r="H23" s="6">
        <v>7000</v>
      </c>
      <c r="I23" s="6"/>
      <c r="J23" s="6"/>
      <c r="K23" s="6"/>
      <c r="L23" s="6">
        <v>0</v>
      </c>
      <c r="M23" s="6">
        <v>0</v>
      </c>
      <c r="N23" s="6"/>
      <c r="O23" s="6"/>
      <c r="P23" s="6"/>
      <c r="Q23" s="6"/>
      <c r="R23" s="6"/>
      <c r="S23" s="6"/>
      <c r="T23" s="6"/>
      <c r="U23" s="6"/>
      <c r="V23" s="5" t="s">
        <v>200</v>
      </c>
      <c r="W23" s="5" t="s">
        <v>200</v>
      </c>
      <c r="X23" s="7" t="s">
        <v>4</v>
      </c>
      <c r="Y23" t="s">
        <v>9</v>
      </c>
      <c r="Z23" t="s">
        <v>55</v>
      </c>
      <c r="AA23" t="s">
        <v>56</v>
      </c>
      <c r="AB23" s="5" t="s">
        <v>23</v>
      </c>
      <c r="AC23" t="s">
        <v>107</v>
      </c>
      <c r="AD23" s="5" t="s">
        <v>201</v>
      </c>
      <c r="AE23" t="s">
        <v>12</v>
      </c>
      <c r="AF23" s="5"/>
      <c r="AH23" s="5" t="s">
        <v>116</v>
      </c>
    </row>
    <row r="24" spans="1:34" ht="69.75" customHeight="1" x14ac:dyDescent="0.35">
      <c r="A24" t="s">
        <v>117</v>
      </c>
      <c r="B24" t="s">
        <v>51</v>
      </c>
      <c r="C24" s="5" t="s">
        <v>105</v>
      </c>
      <c r="D24" s="6" t="s">
        <v>106</v>
      </c>
      <c r="E24" s="6" t="s">
        <v>54</v>
      </c>
      <c r="F24" s="6"/>
      <c r="G24" s="6"/>
      <c r="H24" s="6">
        <v>0</v>
      </c>
      <c r="I24" s="6"/>
      <c r="J24" s="6"/>
      <c r="K24" s="6"/>
      <c r="L24" s="6">
        <v>0</v>
      </c>
      <c r="M24" s="6">
        <v>0</v>
      </c>
      <c r="N24" s="6"/>
      <c r="O24" s="6"/>
      <c r="P24" s="6"/>
      <c r="Q24" s="6"/>
      <c r="R24" s="6"/>
      <c r="S24" s="6"/>
      <c r="T24" s="6"/>
      <c r="U24" s="6"/>
      <c r="V24" s="5" t="s">
        <v>196</v>
      </c>
      <c r="W24" s="5" t="s">
        <v>196</v>
      </c>
      <c r="X24" s="7" t="s">
        <v>4</v>
      </c>
      <c r="Y24" t="s">
        <v>9</v>
      </c>
      <c r="Z24" t="s">
        <v>55</v>
      </c>
      <c r="AA24" t="s">
        <v>56</v>
      </c>
      <c r="AB24" s="5" t="s">
        <v>23</v>
      </c>
      <c r="AC24" t="s">
        <v>107</v>
      </c>
      <c r="AD24" s="5" t="s">
        <v>202</v>
      </c>
      <c r="AE24" t="s">
        <v>12</v>
      </c>
      <c r="AF24" s="5"/>
      <c r="AH24" s="5" t="s">
        <v>118</v>
      </c>
    </row>
    <row r="25" spans="1:34" ht="69.75" customHeight="1" x14ac:dyDescent="0.35">
      <c r="A25" t="s">
        <v>119</v>
      </c>
      <c r="B25" t="s">
        <v>51</v>
      </c>
      <c r="C25" s="5" t="s">
        <v>120</v>
      </c>
      <c r="D25" s="6" t="s">
        <v>121</v>
      </c>
      <c r="E25" s="6" t="s">
        <v>54</v>
      </c>
      <c r="F25" s="6"/>
      <c r="G25" s="6"/>
      <c r="H25" s="6"/>
      <c r="I25" s="6"/>
      <c r="J25" s="6"/>
      <c r="K25" s="6"/>
      <c r="L25" s="6">
        <v>0</v>
      </c>
      <c r="M25" s="6">
        <v>0</v>
      </c>
      <c r="N25" s="6"/>
      <c r="O25" s="6"/>
      <c r="P25" s="6"/>
      <c r="Q25" s="6"/>
      <c r="R25" s="6"/>
      <c r="S25" s="6"/>
      <c r="T25" s="6"/>
      <c r="U25" s="6"/>
      <c r="V25" s="5" t="s">
        <v>204</v>
      </c>
      <c r="W25" s="5" t="s">
        <v>204</v>
      </c>
      <c r="X25" s="7" t="s">
        <v>4</v>
      </c>
      <c r="Y25" t="s">
        <v>9</v>
      </c>
      <c r="Z25" t="s">
        <v>55</v>
      </c>
      <c r="AA25" t="s">
        <v>56</v>
      </c>
      <c r="AB25" s="5" t="s">
        <v>24</v>
      </c>
      <c r="AC25" t="s">
        <v>122</v>
      </c>
      <c r="AD25" s="5" t="s">
        <v>203</v>
      </c>
      <c r="AE25" t="s">
        <v>13</v>
      </c>
      <c r="AF25" s="5"/>
      <c r="AH25" s="5" t="s">
        <v>123</v>
      </c>
    </row>
    <row r="26" spans="1:34" ht="69.75" customHeight="1" x14ac:dyDescent="0.35">
      <c r="A26" t="s">
        <v>124</v>
      </c>
      <c r="B26" t="s">
        <v>51</v>
      </c>
      <c r="C26" s="5" t="s">
        <v>120</v>
      </c>
      <c r="D26" s="6" t="s">
        <v>125</v>
      </c>
      <c r="E26" s="6" t="s">
        <v>54</v>
      </c>
      <c r="F26" s="6"/>
      <c r="G26" s="6"/>
      <c r="H26" s="6"/>
      <c r="I26" s="6"/>
      <c r="J26" s="6"/>
      <c r="K26" s="6"/>
      <c r="L26" s="6">
        <v>0</v>
      </c>
      <c r="M26" s="6">
        <v>0</v>
      </c>
      <c r="N26" s="6"/>
      <c r="O26" s="6"/>
      <c r="P26" s="6"/>
      <c r="Q26" s="6"/>
      <c r="R26" s="6"/>
      <c r="S26" s="6"/>
      <c r="T26" s="6"/>
      <c r="U26" s="6"/>
      <c r="V26" s="5" t="s">
        <v>206</v>
      </c>
      <c r="W26" s="5" t="s">
        <v>206</v>
      </c>
      <c r="X26" s="7" t="s">
        <v>4</v>
      </c>
      <c r="Y26" t="s">
        <v>9</v>
      </c>
      <c r="Z26" t="s">
        <v>55</v>
      </c>
      <c r="AA26" t="s">
        <v>56</v>
      </c>
      <c r="AB26" s="5" t="s">
        <v>24</v>
      </c>
      <c r="AC26" t="s">
        <v>122</v>
      </c>
      <c r="AD26" s="5" t="s">
        <v>205</v>
      </c>
      <c r="AE26" t="s">
        <v>13</v>
      </c>
      <c r="AF26" s="5"/>
      <c r="AH26" s="5" t="s">
        <v>126</v>
      </c>
    </row>
    <row r="27" spans="1:34" ht="69.75" customHeight="1" x14ac:dyDescent="0.35">
      <c r="A27" t="s">
        <v>127</v>
      </c>
      <c r="B27" t="s">
        <v>51</v>
      </c>
      <c r="C27" s="5" t="s">
        <v>120</v>
      </c>
      <c r="D27" s="6" t="s">
        <v>128</v>
      </c>
      <c r="E27" s="6" t="s">
        <v>54</v>
      </c>
      <c r="F27" s="6"/>
      <c r="G27" s="6"/>
      <c r="H27" s="6"/>
      <c r="I27" s="6"/>
      <c r="J27" s="6"/>
      <c r="K27" s="6"/>
      <c r="L27" s="6">
        <v>50000</v>
      </c>
      <c r="M27" s="6">
        <v>200000</v>
      </c>
      <c r="N27" s="6"/>
      <c r="O27" s="6"/>
      <c r="P27" s="6"/>
      <c r="Q27" s="6"/>
      <c r="R27" s="6"/>
      <c r="S27" s="6"/>
      <c r="T27" s="6"/>
      <c r="U27" s="6"/>
      <c r="V27" s="5" t="s">
        <v>208</v>
      </c>
      <c r="W27" s="5" t="s">
        <v>208</v>
      </c>
      <c r="X27" s="7" t="s">
        <v>4</v>
      </c>
      <c r="Y27" t="s">
        <v>9</v>
      </c>
      <c r="Z27" t="s">
        <v>55</v>
      </c>
      <c r="AA27" t="s">
        <v>56</v>
      </c>
      <c r="AB27" s="5" t="s">
        <v>24</v>
      </c>
      <c r="AC27" t="s">
        <v>122</v>
      </c>
      <c r="AD27" s="5" t="s">
        <v>207</v>
      </c>
      <c r="AE27" t="s">
        <v>13</v>
      </c>
      <c r="AF27" s="5"/>
      <c r="AH27" s="5" t="s">
        <v>129</v>
      </c>
    </row>
    <row r="28" spans="1:34" ht="69.75" customHeight="1" x14ac:dyDescent="0.35">
      <c r="A28" t="s">
        <v>130</v>
      </c>
      <c r="B28" t="s">
        <v>51</v>
      </c>
      <c r="C28" s="5" t="s">
        <v>120</v>
      </c>
      <c r="D28" s="6" t="s">
        <v>131</v>
      </c>
      <c r="E28" s="6" t="s">
        <v>67</v>
      </c>
      <c r="F28" s="6"/>
      <c r="G28" s="6"/>
      <c r="H28" s="6"/>
      <c r="I28" s="6"/>
      <c r="J28" s="6"/>
      <c r="K28" s="6"/>
      <c r="L28" s="6">
        <v>0</v>
      </c>
      <c r="M28" s="6">
        <v>100000</v>
      </c>
      <c r="N28" s="6"/>
      <c r="O28" s="6"/>
      <c r="P28" s="6"/>
      <c r="Q28" s="6"/>
      <c r="R28" s="6"/>
      <c r="S28" s="6"/>
      <c r="T28" s="6"/>
      <c r="U28" s="6"/>
      <c r="V28" s="5" t="s">
        <v>210</v>
      </c>
      <c r="W28" s="5" t="s">
        <v>210</v>
      </c>
      <c r="X28" s="7" t="s">
        <v>4</v>
      </c>
      <c r="Y28" t="s">
        <v>9</v>
      </c>
      <c r="Z28" t="s">
        <v>55</v>
      </c>
      <c r="AA28" t="s">
        <v>56</v>
      </c>
      <c r="AB28" s="5" t="s">
        <v>24</v>
      </c>
      <c r="AC28" t="s">
        <v>122</v>
      </c>
      <c r="AD28" s="5" t="s">
        <v>209</v>
      </c>
      <c r="AE28" t="s">
        <v>13</v>
      </c>
      <c r="AF28" s="5"/>
      <c r="AH28" s="5" t="s">
        <v>132</v>
      </c>
    </row>
    <row r="29" spans="1:34" ht="69.75" customHeight="1" x14ac:dyDescent="0.35">
      <c r="A29" t="s">
        <v>133</v>
      </c>
      <c r="B29" t="s">
        <v>51</v>
      </c>
      <c r="C29" s="5" t="s">
        <v>120</v>
      </c>
      <c r="D29" s="6" t="s">
        <v>131</v>
      </c>
      <c r="E29" s="6" t="s">
        <v>54</v>
      </c>
      <c r="F29" s="6"/>
      <c r="G29" s="6"/>
      <c r="H29" s="6"/>
      <c r="I29" s="6"/>
      <c r="J29" s="6"/>
      <c r="K29" s="6"/>
      <c r="L29" s="6">
        <v>437500</v>
      </c>
      <c r="M29" s="6">
        <v>0</v>
      </c>
      <c r="N29" s="6"/>
      <c r="O29" s="6"/>
      <c r="P29" s="6"/>
      <c r="Q29" s="6"/>
      <c r="R29" s="6"/>
      <c r="S29" s="6"/>
      <c r="T29" s="6"/>
      <c r="U29" s="6"/>
      <c r="V29" s="5" t="s">
        <v>206</v>
      </c>
      <c r="W29" s="5" t="s">
        <v>206</v>
      </c>
      <c r="X29" s="7" t="s">
        <v>4</v>
      </c>
      <c r="Y29" t="s">
        <v>9</v>
      </c>
      <c r="Z29" t="s">
        <v>55</v>
      </c>
      <c r="AA29" t="s">
        <v>56</v>
      </c>
      <c r="AB29" s="5" t="s">
        <v>24</v>
      </c>
      <c r="AC29" t="s">
        <v>122</v>
      </c>
      <c r="AD29" s="5" t="s">
        <v>211</v>
      </c>
      <c r="AE29" t="s">
        <v>13</v>
      </c>
      <c r="AF29" s="5"/>
      <c r="AH29" s="5" t="s">
        <v>134</v>
      </c>
    </row>
    <row r="30" spans="1:34" ht="69.75" customHeight="1" x14ac:dyDescent="0.35">
      <c r="A30" t="s">
        <v>135</v>
      </c>
      <c r="B30" t="s">
        <v>51</v>
      </c>
      <c r="C30" s="5" t="s">
        <v>120</v>
      </c>
      <c r="D30" s="6" t="s">
        <v>131</v>
      </c>
      <c r="E30" s="6" t="s">
        <v>54</v>
      </c>
      <c r="F30" s="6"/>
      <c r="G30" s="6"/>
      <c r="H30" s="6"/>
      <c r="I30" s="6"/>
      <c r="J30" s="6"/>
      <c r="K30" s="6"/>
      <c r="L30" s="6">
        <v>500000</v>
      </c>
      <c r="M30" s="6">
        <v>0</v>
      </c>
      <c r="N30" s="6"/>
      <c r="O30" s="6"/>
      <c r="P30" s="6"/>
      <c r="Q30" s="6"/>
      <c r="R30" s="6"/>
      <c r="S30" s="6"/>
      <c r="T30" s="6"/>
      <c r="U30" s="6"/>
      <c r="V30" s="5" t="s">
        <v>206</v>
      </c>
      <c r="W30" s="5" t="s">
        <v>206</v>
      </c>
      <c r="X30" s="7" t="s">
        <v>4</v>
      </c>
      <c r="Y30" t="s">
        <v>9</v>
      </c>
      <c r="Z30" t="s">
        <v>55</v>
      </c>
      <c r="AA30" t="s">
        <v>56</v>
      </c>
      <c r="AB30" s="5" t="s">
        <v>24</v>
      </c>
      <c r="AC30" t="s">
        <v>122</v>
      </c>
      <c r="AD30" s="5" t="s">
        <v>212</v>
      </c>
      <c r="AE30" t="s">
        <v>13</v>
      </c>
      <c r="AF30" s="5"/>
      <c r="AH30" s="5" t="s">
        <v>136</v>
      </c>
    </row>
    <row r="31" spans="1:34" ht="69.75" customHeight="1" x14ac:dyDescent="0.35">
      <c r="A31" t="s">
        <v>137</v>
      </c>
      <c r="B31" t="s">
        <v>51</v>
      </c>
      <c r="C31" s="5" t="s">
        <v>120</v>
      </c>
      <c r="D31" s="6" t="s">
        <v>138</v>
      </c>
      <c r="E31" s="6" t="s">
        <v>54</v>
      </c>
      <c r="F31" s="6"/>
      <c r="G31" s="6"/>
      <c r="H31" s="6"/>
      <c r="I31" s="6"/>
      <c r="J31" s="6"/>
      <c r="K31" s="6"/>
      <c r="L31" s="6">
        <v>50000</v>
      </c>
      <c r="M31" s="6">
        <v>100000</v>
      </c>
      <c r="N31" s="6"/>
      <c r="O31" s="6"/>
      <c r="P31" s="6"/>
      <c r="Q31" s="6"/>
      <c r="R31" s="6"/>
      <c r="S31" s="6"/>
      <c r="T31" s="6"/>
      <c r="U31" s="6"/>
      <c r="V31" s="5" t="s">
        <v>214</v>
      </c>
      <c r="W31" s="5" t="s">
        <v>214</v>
      </c>
      <c r="X31" s="7" t="s">
        <v>4</v>
      </c>
      <c r="Y31" t="s">
        <v>9</v>
      </c>
      <c r="Z31" t="s">
        <v>55</v>
      </c>
      <c r="AA31" t="s">
        <v>56</v>
      </c>
      <c r="AB31" s="5" t="s">
        <v>24</v>
      </c>
      <c r="AC31" t="s">
        <v>122</v>
      </c>
      <c r="AD31" s="5" t="s">
        <v>213</v>
      </c>
      <c r="AE31" t="s">
        <v>13</v>
      </c>
      <c r="AF31" s="5"/>
      <c r="AH31" s="5" t="s">
        <v>139</v>
      </c>
    </row>
    <row r="32" spans="1:34" ht="69.75" customHeight="1" x14ac:dyDescent="0.35">
      <c r="A32" t="s">
        <v>140</v>
      </c>
      <c r="B32" t="s">
        <v>51</v>
      </c>
      <c r="C32" s="5" t="s">
        <v>120</v>
      </c>
      <c r="D32" s="6" t="s">
        <v>141</v>
      </c>
      <c r="E32" s="6" t="s">
        <v>67</v>
      </c>
      <c r="F32" s="6"/>
      <c r="G32" s="6"/>
      <c r="H32" s="6"/>
      <c r="I32" s="6"/>
      <c r="J32" s="6"/>
      <c r="K32" s="6"/>
      <c r="L32" s="6">
        <v>0</v>
      </c>
      <c r="M32" s="6">
        <v>200000</v>
      </c>
      <c r="N32" s="6"/>
      <c r="O32" s="6"/>
      <c r="P32" s="6"/>
      <c r="Q32" s="6"/>
      <c r="R32" s="6"/>
      <c r="S32" s="6"/>
      <c r="T32" s="6"/>
      <c r="U32" s="6"/>
      <c r="V32" s="5" t="s">
        <v>216</v>
      </c>
      <c r="W32" s="5" t="s">
        <v>216</v>
      </c>
      <c r="X32" s="7" t="s">
        <v>4</v>
      </c>
      <c r="Y32" t="s">
        <v>9</v>
      </c>
      <c r="Z32" t="s">
        <v>55</v>
      </c>
      <c r="AA32" t="s">
        <v>56</v>
      </c>
      <c r="AB32" s="5" t="s">
        <v>24</v>
      </c>
      <c r="AC32" t="s">
        <v>122</v>
      </c>
      <c r="AD32" s="5" t="s">
        <v>215</v>
      </c>
      <c r="AE32" t="s">
        <v>13</v>
      </c>
      <c r="AF32" s="5"/>
      <c r="AH32" s="5" t="s">
        <v>142</v>
      </c>
    </row>
    <row r="33" spans="1:34" ht="69.75" customHeight="1" x14ac:dyDescent="0.35">
      <c r="A33" t="s">
        <v>143</v>
      </c>
      <c r="B33" t="s">
        <v>51</v>
      </c>
      <c r="C33" s="5" t="s">
        <v>120</v>
      </c>
      <c r="D33" s="6" t="s">
        <v>144</v>
      </c>
      <c r="E33" s="6" t="s">
        <v>54</v>
      </c>
      <c r="F33" s="6"/>
      <c r="G33" s="6"/>
      <c r="H33" s="6"/>
      <c r="I33" s="6"/>
      <c r="J33" s="6"/>
      <c r="K33" s="6"/>
      <c r="L33" s="6">
        <v>0</v>
      </c>
      <c r="M33" s="6">
        <v>0</v>
      </c>
      <c r="N33" s="6"/>
      <c r="O33" s="6"/>
      <c r="P33" s="6"/>
      <c r="Q33" s="6"/>
      <c r="R33" s="6"/>
      <c r="S33" s="6"/>
      <c r="T33" s="6"/>
      <c r="U33" s="6"/>
      <c r="V33" s="5" t="s">
        <v>218</v>
      </c>
      <c r="W33" s="5" t="s">
        <v>218</v>
      </c>
      <c r="X33" s="7" t="s">
        <v>4</v>
      </c>
      <c r="Y33" t="s">
        <v>9</v>
      </c>
      <c r="Z33" t="s">
        <v>55</v>
      </c>
      <c r="AA33" t="s">
        <v>56</v>
      </c>
      <c r="AB33" s="5" t="s">
        <v>24</v>
      </c>
      <c r="AC33" t="s">
        <v>122</v>
      </c>
      <c r="AD33" s="5" t="s">
        <v>217</v>
      </c>
      <c r="AE33" t="s">
        <v>13</v>
      </c>
      <c r="AF33" s="5"/>
      <c r="AH33" s="5" t="s">
        <v>145</v>
      </c>
    </row>
    <row r="34" spans="1:34" ht="69.75" customHeight="1" x14ac:dyDescent="0.35">
      <c r="A34" t="s">
        <v>146</v>
      </c>
      <c r="B34" t="s">
        <v>51</v>
      </c>
      <c r="C34" s="5" t="s">
        <v>120</v>
      </c>
      <c r="D34" s="6" t="s">
        <v>147</v>
      </c>
      <c r="E34" s="6" t="s">
        <v>54</v>
      </c>
      <c r="F34" s="6"/>
      <c r="G34" s="6"/>
      <c r="H34" s="6"/>
      <c r="I34" s="6"/>
      <c r="J34" s="6"/>
      <c r="K34" s="6"/>
      <c r="L34" s="6">
        <v>0</v>
      </c>
      <c r="M34" s="6">
        <v>0</v>
      </c>
      <c r="N34" s="6"/>
      <c r="O34" s="6"/>
      <c r="P34" s="6"/>
      <c r="Q34" s="6"/>
      <c r="R34" s="6"/>
      <c r="S34" s="6"/>
      <c r="T34" s="6"/>
      <c r="U34" s="6"/>
      <c r="V34" s="5" t="s">
        <v>204</v>
      </c>
      <c r="W34" s="5" t="s">
        <v>204</v>
      </c>
      <c r="X34" s="7" t="s">
        <v>4</v>
      </c>
      <c r="Y34" t="s">
        <v>9</v>
      </c>
      <c r="Z34" t="s">
        <v>55</v>
      </c>
      <c r="AA34" t="s">
        <v>56</v>
      </c>
      <c r="AB34" s="5" t="s">
        <v>24</v>
      </c>
      <c r="AC34" t="s">
        <v>122</v>
      </c>
      <c r="AD34" s="5" t="s">
        <v>219</v>
      </c>
      <c r="AE34" t="s">
        <v>13</v>
      </c>
      <c r="AF34" s="5"/>
      <c r="AH34" s="5" t="s">
        <v>148</v>
      </c>
    </row>
    <row r="35" spans="1:34" ht="69.75" customHeight="1" x14ac:dyDescent="0.35">
      <c r="A35" t="s">
        <v>149</v>
      </c>
      <c r="B35" t="s">
        <v>51</v>
      </c>
      <c r="C35" s="5" t="s">
        <v>120</v>
      </c>
      <c r="D35" s="6" t="s">
        <v>150</v>
      </c>
      <c r="E35" s="6" t="s">
        <v>67</v>
      </c>
      <c r="F35" s="6"/>
      <c r="G35" s="6"/>
      <c r="H35" s="6"/>
      <c r="I35" s="6"/>
      <c r="J35" s="6"/>
      <c r="K35" s="6"/>
      <c r="L35" s="6">
        <v>0</v>
      </c>
      <c r="M35" s="6">
        <v>87500</v>
      </c>
      <c r="N35" s="6"/>
      <c r="O35" s="6"/>
      <c r="P35" s="6"/>
      <c r="Q35" s="6"/>
      <c r="R35" s="6"/>
      <c r="S35" s="6"/>
      <c r="T35" s="6"/>
      <c r="U35" s="6"/>
      <c r="V35" s="5" t="s">
        <v>221</v>
      </c>
      <c r="W35" s="5" t="s">
        <v>221</v>
      </c>
      <c r="X35" s="7" t="s">
        <v>4</v>
      </c>
      <c r="Y35" t="s">
        <v>9</v>
      </c>
      <c r="Z35" t="s">
        <v>55</v>
      </c>
      <c r="AA35" t="s">
        <v>56</v>
      </c>
      <c r="AB35" s="5" t="s">
        <v>24</v>
      </c>
      <c r="AC35" t="s">
        <v>122</v>
      </c>
      <c r="AD35" s="5" t="s">
        <v>220</v>
      </c>
      <c r="AE35" t="s">
        <v>13</v>
      </c>
      <c r="AF35" s="5"/>
      <c r="AH35" s="5" t="s">
        <v>151</v>
      </c>
    </row>
    <row r="36" spans="1:34" ht="69.75" customHeight="1" x14ac:dyDescent="0.35">
      <c r="A36" t="s">
        <v>152</v>
      </c>
      <c r="B36" t="s">
        <v>51</v>
      </c>
      <c r="C36" s="5" t="s">
        <v>120</v>
      </c>
      <c r="D36" s="6" t="s">
        <v>153</v>
      </c>
      <c r="E36" s="6" t="s">
        <v>54</v>
      </c>
      <c r="F36" s="6"/>
      <c r="G36" s="6"/>
      <c r="H36" s="6"/>
      <c r="I36" s="6"/>
      <c r="J36" s="6"/>
      <c r="K36" s="6"/>
      <c r="L36" s="6">
        <v>0</v>
      </c>
      <c r="M36" s="6">
        <v>0</v>
      </c>
      <c r="N36" s="6"/>
      <c r="O36" s="6"/>
      <c r="P36" s="6"/>
      <c r="Q36" s="6"/>
      <c r="R36" s="6"/>
      <c r="S36" s="6"/>
      <c r="T36" s="6"/>
      <c r="U36" s="6"/>
      <c r="V36" s="5" t="s">
        <v>204</v>
      </c>
      <c r="W36" s="5" t="s">
        <v>204</v>
      </c>
      <c r="X36" s="7" t="s">
        <v>4</v>
      </c>
      <c r="Y36" t="s">
        <v>9</v>
      </c>
      <c r="Z36" t="s">
        <v>55</v>
      </c>
      <c r="AA36" t="s">
        <v>56</v>
      </c>
      <c r="AB36" s="5" t="s">
        <v>24</v>
      </c>
      <c r="AC36" t="s">
        <v>122</v>
      </c>
      <c r="AD36" s="5" t="s">
        <v>222</v>
      </c>
      <c r="AE36" t="s">
        <v>13</v>
      </c>
      <c r="AF36" s="5"/>
      <c r="AH36" s="5" t="s">
        <v>154</v>
      </c>
    </row>
    <row r="37" spans="1:34" ht="69.75" customHeight="1" x14ac:dyDescent="0.35">
      <c r="A37" t="s">
        <v>155</v>
      </c>
      <c r="B37" t="s">
        <v>51</v>
      </c>
      <c r="C37" s="5" t="s">
        <v>120</v>
      </c>
      <c r="D37" s="6" t="s">
        <v>156</v>
      </c>
      <c r="E37" s="6" t="s">
        <v>54</v>
      </c>
      <c r="F37" s="6"/>
      <c r="G37" s="6"/>
      <c r="H37" s="6"/>
      <c r="I37" s="6"/>
      <c r="J37" s="6"/>
      <c r="K37" s="6"/>
      <c r="L37" s="6">
        <v>0</v>
      </c>
      <c r="M37" s="6">
        <v>0</v>
      </c>
      <c r="N37" s="6"/>
      <c r="O37" s="6"/>
      <c r="P37" s="6"/>
      <c r="Q37" s="6"/>
      <c r="R37" s="6"/>
      <c r="S37" s="6"/>
      <c r="T37" s="6"/>
      <c r="U37" s="6"/>
      <c r="V37" s="5" t="s">
        <v>224</v>
      </c>
      <c r="W37" s="5" t="s">
        <v>224</v>
      </c>
      <c r="X37" s="7" t="s">
        <v>4</v>
      </c>
      <c r="Y37" t="s">
        <v>9</v>
      </c>
      <c r="Z37" t="s">
        <v>55</v>
      </c>
      <c r="AA37" t="s">
        <v>56</v>
      </c>
      <c r="AB37" s="5" t="s">
        <v>24</v>
      </c>
      <c r="AC37" t="s">
        <v>122</v>
      </c>
      <c r="AD37" s="5" t="s">
        <v>223</v>
      </c>
      <c r="AE37" t="s">
        <v>13</v>
      </c>
      <c r="AF37" s="5"/>
      <c r="AH37" s="5" t="s">
        <v>157</v>
      </c>
    </row>
    <row r="38" spans="1:34" ht="69.75" customHeight="1" x14ac:dyDescent="0.35">
      <c r="A38" t="s">
        <v>158</v>
      </c>
      <c r="B38" t="s">
        <v>51</v>
      </c>
      <c r="C38" s="5" t="s">
        <v>120</v>
      </c>
      <c r="D38" s="6" t="s">
        <v>159</v>
      </c>
      <c r="E38" s="6" t="s">
        <v>67</v>
      </c>
      <c r="F38" s="6"/>
      <c r="G38" s="6"/>
      <c r="H38" s="6"/>
      <c r="I38" s="6"/>
      <c r="J38" s="6"/>
      <c r="K38" s="6"/>
      <c r="L38" s="6">
        <v>200000</v>
      </c>
      <c r="M38" s="6">
        <v>300000</v>
      </c>
      <c r="N38" s="6"/>
      <c r="O38" s="6"/>
      <c r="P38" s="6"/>
      <c r="Q38" s="6"/>
      <c r="R38" s="6"/>
      <c r="S38" s="6"/>
      <c r="T38" s="6"/>
      <c r="U38" s="6"/>
      <c r="V38" s="5" t="s">
        <v>226</v>
      </c>
      <c r="W38" s="5" t="s">
        <v>226</v>
      </c>
      <c r="X38" s="7" t="s">
        <v>4</v>
      </c>
      <c r="Y38" t="s">
        <v>9</v>
      </c>
      <c r="Z38" t="s">
        <v>55</v>
      </c>
      <c r="AA38" t="s">
        <v>56</v>
      </c>
      <c r="AB38" s="5" t="s">
        <v>24</v>
      </c>
      <c r="AC38" t="s">
        <v>122</v>
      </c>
      <c r="AD38" s="5" t="s">
        <v>225</v>
      </c>
      <c r="AE38" t="s">
        <v>13</v>
      </c>
      <c r="AF38" s="5"/>
      <c r="AH38" s="5" t="s">
        <v>160</v>
      </c>
    </row>
    <row r="39" spans="1:34" ht="69.75" customHeight="1" x14ac:dyDescent="0.35">
      <c r="A39" t="s">
        <v>161</v>
      </c>
      <c r="B39" t="s">
        <v>51</v>
      </c>
      <c r="C39" s="5" t="s">
        <v>120</v>
      </c>
      <c r="D39" s="6" t="s">
        <v>96</v>
      </c>
      <c r="E39" s="6" t="s">
        <v>54</v>
      </c>
      <c r="F39" s="6"/>
      <c r="G39" s="6"/>
      <c r="H39" s="6"/>
      <c r="I39" s="6"/>
      <c r="J39" s="6"/>
      <c r="K39" s="6"/>
      <c r="L39" s="6">
        <v>0</v>
      </c>
      <c r="M39" s="6">
        <v>0</v>
      </c>
      <c r="N39" s="6"/>
      <c r="O39" s="6"/>
      <c r="P39" s="6"/>
      <c r="Q39" s="6"/>
      <c r="R39" s="6"/>
      <c r="S39" s="6"/>
      <c r="T39" s="6"/>
      <c r="U39" s="6"/>
      <c r="V39" s="5" t="s">
        <v>206</v>
      </c>
      <c r="W39" s="5" t="s">
        <v>206</v>
      </c>
      <c r="X39" s="7" t="s">
        <v>4</v>
      </c>
      <c r="Y39" t="s">
        <v>9</v>
      </c>
      <c r="Z39" t="s">
        <v>55</v>
      </c>
      <c r="AA39" t="s">
        <v>56</v>
      </c>
      <c r="AB39" s="5" t="s">
        <v>24</v>
      </c>
      <c r="AC39" t="s">
        <v>122</v>
      </c>
      <c r="AD39" s="5" t="s">
        <v>227</v>
      </c>
      <c r="AE39" t="s">
        <v>13</v>
      </c>
      <c r="AF39" s="5"/>
      <c r="AH39" s="5" t="s">
        <v>162</v>
      </c>
    </row>
    <row r="40" spans="1:34" ht="69.75" customHeight="1" x14ac:dyDescent="0.35">
      <c r="A40" t="s">
        <v>163</v>
      </c>
      <c r="B40" t="s">
        <v>51</v>
      </c>
      <c r="C40" s="5" t="s">
        <v>120</v>
      </c>
      <c r="D40" s="6" t="s">
        <v>131</v>
      </c>
      <c r="E40" s="6" t="s">
        <v>164</v>
      </c>
      <c r="F40" s="6"/>
      <c r="G40" s="6"/>
      <c r="H40" s="6"/>
      <c r="I40" s="6"/>
      <c r="J40" s="6"/>
      <c r="K40" s="6"/>
      <c r="L40" s="6">
        <v>0</v>
      </c>
      <c r="M40" s="6">
        <v>0</v>
      </c>
      <c r="N40" s="6"/>
      <c r="O40" s="6"/>
      <c r="P40" s="6"/>
      <c r="Q40" s="6"/>
      <c r="R40" s="6"/>
      <c r="S40" s="6"/>
      <c r="T40" s="6"/>
      <c r="U40" s="6"/>
      <c r="V40" s="5" t="s">
        <v>206</v>
      </c>
      <c r="W40" s="5" t="s">
        <v>206</v>
      </c>
      <c r="X40" s="7" t="s">
        <v>4</v>
      </c>
      <c r="Y40" t="s">
        <v>9</v>
      </c>
      <c r="Z40" t="s">
        <v>55</v>
      </c>
      <c r="AA40" t="s">
        <v>56</v>
      </c>
      <c r="AB40" s="5" t="s">
        <v>24</v>
      </c>
      <c r="AC40" t="s">
        <v>122</v>
      </c>
      <c r="AD40" s="5" t="s">
        <v>228</v>
      </c>
      <c r="AE40" t="s">
        <v>13</v>
      </c>
      <c r="AF40" s="5"/>
      <c r="AH40" s="5" t="s">
        <v>165</v>
      </c>
    </row>
    <row r="41" spans="1:34" ht="69.75" customHeight="1" x14ac:dyDescent="0.35">
      <c r="A41" t="s">
        <v>166</v>
      </c>
      <c r="B41" t="s">
        <v>51</v>
      </c>
      <c r="C41" s="5" t="s">
        <v>167</v>
      </c>
      <c r="D41" s="6" t="s">
        <v>106</v>
      </c>
      <c r="E41" s="6" t="s">
        <v>54</v>
      </c>
      <c r="F41" s="6"/>
      <c r="G41" s="6"/>
      <c r="H41" s="6">
        <v>4000</v>
      </c>
      <c r="I41" s="6"/>
      <c r="J41" s="6"/>
      <c r="K41" s="6"/>
      <c r="L41" s="6">
        <v>0</v>
      </c>
      <c r="M41" s="6">
        <v>0</v>
      </c>
      <c r="N41" s="6"/>
      <c r="O41" s="6"/>
      <c r="P41" s="6"/>
      <c r="Q41" s="6"/>
      <c r="R41" s="6"/>
      <c r="S41" s="6"/>
      <c r="T41" s="6"/>
      <c r="U41" s="6"/>
      <c r="V41" s="5" t="s">
        <v>229</v>
      </c>
      <c r="W41" s="5" t="s">
        <v>229</v>
      </c>
      <c r="X41" s="7" t="s">
        <v>4</v>
      </c>
      <c r="Y41" t="s">
        <v>9</v>
      </c>
      <c r="Z41" t="s">
        <v>55</v>
      </c>
      <c r="AA41" t="s">
        <v>56</v>
      </c>
      <c r="AB41" s="5" t="s">
        <v>168</v>
      </c>
      <c r="AC41" t="s">
        <v>107</v>
      </c>
      <c r="AD41" s="5" t="s">
        <v>197</v>
      </c>
      <c r="AE41" t="s">
        <v>11</v>
      </c>
      <c r="AF41" s="5"/>
      <c r="AH41" s="5" t="s">
        <v>169</v>
      </c>
    </row>
    <row r="42" spans="1:34" ht="69.75" customHeight="1" x14ac:dyDescent="0.35">
      <c r="A42" t="s">
        <v>170</v>
      </c>
      <c r="B42" t="s">
        <v>51</v>
      </c>
      <c r="C42" s="5" t="s">
        <v>167</v>
      </c>
      <c r="D42" s="6" t="s">
        <v>106</v>
      </c>
      <c r="E42" s="6" t="s">
        <v>54</v>
      </c>
      <c r="F42" s="6"/>
      <c r="G42" s="6"/>
      <c r="H42" s="6">
        <v>7000</v>
      </c>
      <c r="I42" s="6"/>
      <c r="J42" s="6"/>
      <c r="K42" s="6"/>
      <c r="L42" s="6">
        <v>437000</v>
      </c>
      <c r="M42" s="6">
        <v>0</v>
      </c>
      <c r="N42" s="6"/>
      <c r="O42" s="6"/>
      <c r="P42" s="6"/>
      <c r="Q42" s="6"/>
      <c r="R42" s="6"/>
      <c r="S42" s="6"/>
      <c r="T42" s="6"/>
      <c r="U42" s="6"/>
      <c r="V42" s="5" t="s">
        <v>231</v>
      </c>
      <c r="W42" s="5" t="s">
        <v>231</v>
      </c>
      <c r="X42" s="7" t="s">
        <v>4</v>
      </c>
      <c r="Y42" t="s">
        <v>9</v>
      </c>
      <c r="Z42" t="s">
        <v>55</v>
      </c>
      <c r="AA42" t="s">
        <v>56</v>
      </c>
      <c r="AB42" s="5" t="s">
        <v>168</v>
      </c>
      <c r="AC42" t="s">
        <v>107</v>
      </c>
      <c r="AD42" s="5" t="s">
        <v>230</v>
      </c>
      <c r="AE42" t="s">
        <v>11</v>
      </c>
      <c r="AF42" s="5"/>
      <c r="AH42" s="5" t="s">
        <v>171</v>
      </c>
    </row>
    <row r="43" spans="1:34" ht="69.75" customHeight="1" x14ac:dyDescent="0.35">
      <c r="A43" t="s">
        <v>172</v>
      </c>
      <c r="B43" t="s">
        <v>51</v>
      </c>
      <c r="C43" s="5" t="s">
        <v>167</v>
      </c>
      <c r="D43" s="6" t="s">
        <v>106</v>
      </c>
      <c r="E43" s="6" t="s">
        <v>54</v>
      </c>
      <c r="F43" s="6"/>
      <c r="G43" s="6"/>
      <c r="H43" s="6">
        <v>7000</v>
      </c>
      <c r="I43" s="6"/>
      <c r="J43" s="6"/>
      <c r="K43" s="6"/>
      <c r="L43" s="6">
        <v>436250</v>
      </c>
      <c r="M43" s="6">
        <v>0</v>
      </c>
      <c r="N43" s="6"/>
      <c r="O43" s="6"/>
      <c r="P43" s="6"/>
      <c r="Q43" s="6"/>
      <c r="R43" s="6"/>
      <c r="S43" s="6"/>
      <c r="T43" s="6"/>
      <c r="U43" s="6"/>
      <c r="V43" s="5" t="s">
        <v>233</v>
      </c>
      <c r="W43" s="5" t="s">
        <v>233</v>
      </c>
      <c r="X43" s="7" t="s">
        <v>4</v>
      </c>
      <c r="Y43" t="s">
        <v>9</v>
      </c>
      <c r="Z43" t="s">
        <v>55</v>
      </c>
      <c r="AA43" t="s">
        <v>56</v>
      </c>
      <c r="AB43" s="5" t="s">
        <v>168</v>
      </c>
      <c r="AC43" t="s">
        <v>107</v>
      </c>
      <c r="AD43" s="5" t="s">
        <v>232</v>
      </c>
      <c r="AE43" t="s">
        <v>11</v>
      </c>
      <c r="AF43" s="5"/>
      <c r="AH43" s="5" t="s">
        <v>173</v>
      </c>
    </row>
    <row r="44" spans="1:34" ht="69.75" customHeight="1" x14ac:dyDescent="0.35">
      <c r="A44" t="s">
        <v>174</v>
      </c>
      <c r="B44" t="s">
        <v>51</v>
      </c>
      <c r="C44" s="5" t="s">
        <v>167</v>
      </c>
      <c r="D44" s="6" t="s">
        <v>106</v>
      </c>
      <c r="E44" s="6" t="s">
        <v>54</v>
      </c>
      <c r="F44" s="6"/>
      <c r="G44" s="6"/>
      <c r="H44" s="6">
        <v>7000</v>
      </c>
      <c r="I44" s="6"/>
      <c r="J44" s="6"/>
      <c r="K44" s="6"/>
      <c r="L44" s="6">
        <v>437500</v>
      </c>
      <c r="M44" s="6">
        <v>0</v>
      </c>
      <c r="N44" s="6"/>
      <c r="O44" s="6"/>
      <c r="P44" s="6"/>
      <c r="Q44" s="6"/>
      <c r="R44" s="6"/>
      <c r="S44" s="6"/>
      <c r="T44" s="6"/>
      <c r="U44" s="6"/>
      <c r="V44" s="5" t="s">
        <v>235</v>
      </c>
      <c r="W44" s="5" t="s">
        <v>235</v>
      </c>
      <c r="X44" s="7" t="s">
        <v>4</v>
      </c>
      <c r="Y44" t="s">
        <v>9</v>
      </c>
      <c r="Z44" t="s">
        <v>55</v>
      </c>
      <c r="AA44" t="s">
        <v>56</v>
      </c>
      <c r="AB44" s="5" t="s">
        <v>168</v>
      </c>
      <c r="AC44" t="s">
        <v>107</v>
      </c>
      <c r="AD44" s="5" t="s">
        <v>234</v>
      </c>
      <c r="AE44" t="s">
        <v>11</v>
      </c>
      <c r="AF44" s="5"/>
      <c r="AH44" s="5" t="s">
        <v>175</v>
      </c>
    </row>
    <row r="45" spans="1:34" ht="69.75" customHeight="1" x14ac:dyDescent="0.35">
      <c r="A45" t="s">
        <v>176</v>
      </c>
      <c r="B45" t="s">
        <v>51</v>
      </c>
      <c r="C45" s="5" t="s">
        <v>167</v>
      </c>
      <c r="D45" s="6" t="s">
        <v>106</v>
      </c>
      <c r="E45" s="6" t="s">
        <v>54</v>
      </c>
      <c r="F45" s="6"/>
      <c r="G45" s="6"/>
      <c r="H45" s="6">
        <v>2000</v>
      </c>
      <c r="I45" s="6"/>
      <c r="J45" s="6"/>
      <c r="K45" s="6"/>
      <c r="L45" s="6">
        <v>0</v>
      </c>
      <c r="M45" s="6">
        <v>0</v>
      </c>
      <c r="N45" s="6"/>
      <c r="O45" s="6"/>
      <c r="P45" s="6"/>
      <c r="Q45" s="6"/>
      <c r="R45" s="6"/>
      <c r="S45" s="6"/>
      <c r="T45" s="6"/>
      <c r="U45" s="6"/>
      <c r="V45" s="5" t="s">
        <v>235</v>
      </c>
      <c r="W45" s="5" t="s">
        <v>235</v>
      </c>
      <c r="X45" s="7" t="s">
        <v>4</v>
      </c>
      <c r="Y45" t="s">
        <v>9</v>
      </c>
      <c r="Z45" t="s">
        <v>55</v>
      </c>
      <c r="AA45" t="s">
        <v>56</v>
      </c>
      <c r="AB45" s="5" t="s">
        <v>168</v>
      </c>
      <c r="AC45" t="s">
        <v>107</v>
      </c>
      <c r="AD45" s="5" t="s">
        <v>236</v>
      </c>
      <c r="AE45" t="s">
        <v>11</v>
      </c>
      <c r="AF45" s="5"/>
      <c r="AH45" s="5" t="s">
        <v>177</v>
      </c>
    </row>
  </sheetData>
  <autoFilter ref="A4:AC102" xr:uid="{00000000-0009-0000-0000-000001000000}"/>
  <hyperlinks>
    <hyperlink ref="C5" r:id="rId1" xr:uid="{ECE1B27F-6410-4F03-91D9-FD21AD3D97FF}"/>
  </hyperlinks>
  <pageMargins left="0.7" right="0.7" top="0.75" bottom="0.75" header="0.511811023622047" footer="0.511811023622047"/>
  <pageSetup paperSize="9" orientation="portrait" horizontalDpi="300" verticalDpi="30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</xdr:row>
                    <xdr:rowOff>63500</xdr:rowOff>
                  </from>
                  <to>
                    <xdr:col>25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5</xdr:row>
                    <xdr:rowOff>63500</xdr:rowOff>
                  </from>
                  <to>
                    <xdr:col>25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6</xdr:row>
                    <xdr:rowOff>63500</xdr:rowOff>
                  </from>
                  <to>
                    <xdr:col>25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7</xdr:row>
                    <xdr:rowOff>63500</xdr:rowOff>
                  </from>
                  <to>
                    <xdr:col>25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8</xdr:row>
                    <xdr:rowOff>63500</xdr:rowOff>
                  </from>
                  <to>
                    <xdr:col>25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9</xdr:row>
                    <xdr:rowOff>63500</xdr:rowOff>
                  </from>
                  <to>
                    <xdr:col>25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10</xdr:row>
                    <xdr:rowOff>63500</xdr:rowOff>
                  </from>
                  <to>
                    <xdr:col>25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11</xdr:row>
                    <xdr:rowOff>63500</xdr:rowOff>
                  </from>
                  <to>
                    <xdr:col>25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12</xdr:row>
                    <xdr:rowOff>63500</xdr:rowOff>
                  </from>
                  <to>
                    <xdr:col>25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13</xdr:row>
                    <xdr:rowOff>63500</xdr:rowOff>
                  </from>
                  <to>
                    <xdr:col>25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14</xdr:row>
                    <xdr:rowOff>63500</xdr:rowOff>
                  </from>
                  <to>
                    <xdr:col>25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15</xdr:row>
                    <xdr:rowOff>63500</xdr:rowOff>
                  </from>
                  <to>
                    <xdr:col>25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16</xdr:row>
                    <xdr:rowOff>63500</xdr:rowOff>
                  </from>
                  <to>
                    <xdr:col>25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17</xdr:row>
                    <xdr:rowOff>63500</xdr:rowOff>
                  </from>
                  <to>
                    <xdr:col>25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18</xdr:row>
                    <xdr:rowOff>63500</xdr:rowOff>
                  </from>
                  <to>
                    <xdr:col>25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19</xdr:row>
                    <xdr:rowOff>63500</xdr:rowOff>
                  </from>
                  <to>
                    <xdr:col>25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20</xdr:row>
                    <xdr:rowOff>63500</xdr:rowOff>
                  </from>
                  <to>
                    <xdr:col>25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21</xdr:row>
                    <xdr:rowOff>63500</xdr:rowOff>
                  </from>
                  <to>
                    <xdr:col>25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22</xdr:row>
                    <xdr:rowOff>63500</xdr:rowOff>
                  </from>
                  <to>
                    <xdr:col>25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23</xdr:row>
                    <xdr:rowOff>63500</xdr:rowOff>
                  </from>
                  <to>
                    <xdr:col>25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24</xdr:row>
                    <xdr:rowOff>63500</xdr:rowOff>
                  </from>
                  <to>
                    <xdr:col>25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25</xdr:row>
                    <xdr:rowOff>63500</xdr:rowOff>
                  </from>
                  <to>
                    <xdr:col>25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26</xdr:row>
                    <xdr:rowOff>63500</xdr:rowOff>
                  </from>
                  <to>
                    <xdr:col>25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27</xdr:row>
                    <xdr:rowOff>63500</xdr:rowOff>
                  </from>
                  <to>
                    <xdr:col>25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28</xdr:row>
                    <xdr:rowOff>63500</xdr:rowOff>
                  </from>
                  <to>
                    <xdr:col>25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29</xdr:row>
                    <xdr:rowOff>63500</xdr:rowOff>
                  </from>
                  <to>
                    <xdr:col>25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30</xdr:row>
                    <xdr:rowOff>63500</xdr:rowOff>
                  </from>
                  <to>
                    <xdr:col>25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31</xdr:row>
                    <xdr:rowOff>63500</xdr:rowOff>
                  </from>
                  <to>
                    <xdr:col>25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32</xdr:row>
                    <xdr:rowOff>63500</xdr:rowOff>
                  </from>
                  <to>
                    <xdr:col>25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33</xdr:row>
                    <xdr:rowOff>63500</xdr:rowOff>
                  </from>
                  <to>
                    <xdr:col>25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34</xdr:row>
                    <xdr:rowOff>63500</xdr:rowOff>
                  </from>
                  <to>
                    <xdr:col>25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35</xdr:row>
                    <xdr:rowOff>63500</xdr:rowOff>
                  </from>
                  <to>
                    <xdr:col>25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36</xdr:row>
                    <xdr:rowOff>63500</xdr:rowOff>
                  </from>
                  <to>
                    <xdr:col>25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37</xdr:row>
                    <xdr:rowOff>63500</xdr:rowOff>
                  </from>
                  <to>
                    <xdr:col>25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38</xdr:row>
                    <xdr:rowOff>63500</xdr:rowOff>
                  </from>
                  <to>
                    <xdr:col>25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39</xdr:row>
                    <xdr:rowOff>63500</xdr:rowOff>
                  </from>
                  <to>
                    <xdr:col>25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40</xdr:row>
                    <xdr:rowOff>63500</xdr:rowOff>
                  </from>
                  <to>
                    <xdr:col>25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41</xdr:row>
                    <xdr:rowOff>63500</xdr:rowOff>
                  </from>
                  <to>
                    <xdr:col>25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42</xdr:row>
                    <xdr:rowOff>63500</xdr:rowOff>
                  </from>
                  <to>
                    <xdr:col>25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43</xdr:row>
                    <xdr:rowOff>63500</xdr:rowOff>
                  </from>
                  <to>
                    <xdr:col>25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44</xdr:row>
                    <xdr:rowOff>63500</xdr:rowOff>
                  </from>
                  <to>
                    <xdr:col>25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dcterms:created xsi:type="dcterms:W3CDTF">2026-05-27T06:52:16Z</dcterms:created>
  <dcterms:modified xsi:type="dcterms:W3CDTF">2026-06-17T12:37:16Z</dcterms:modified>
</cp:coreProperties>
</file>