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c.belastingdienst.nl\Homes\Usr\keisc01\Mijn Documenten\Documenten BenB\Overig\"/>
    </mc:Choice>
  </mc:AlternateContent>
  <xr:revisionPtr revIDLastSave="0" documentId="13_ncr:1_{C09688AC-3E37-4051-AD06-471CD51ABD3C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Participatiewet" sheetId="1" r:id="rId1"/>
    <sheet name="Max vBVV" sheetId="7" r:id="rId2"/>
    <sheet name="KWT" sheetId="3" r:id="rId3"/>
    <sheet name="Huur" sheetId="4" r:id="rId4"/>
    <sheet name="School" sheetId="5" r:id="rId5"/>
    <sheet name="Kosten" sheetId="6" r:id="rId6"/>
    <sheet name="KGB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4" l="1"/>
  <c r="E16" i="4"/>
  <c r="E12" i="4"/>
  <c r="R13" i="4"/>
  <c r="R12" i="4"/>
  <c r="R27" i="4" l="1"/>
  <c r="G14" i="7"/>
  <c r="O13" i="4" l="1"/>
  <c r="O12" i="4"/>
  <c r="O11" i="4"/>
  <c r="E21" i="4"/>
  <c r="B2" i="6"/>
  <c r="Z28" i="5"/>
  <c r="Z23" i="5"/>
  <c r="Z22" i="5"/>
  <c r="I12" i="5" l="1"/>
  <c r="I11" i="5"/>
  <c r="I8" i="5"/>
  <c r="I7" i="5"/>
  <c r="G2" i="9"/>
  <c r="E2" i="7" l="1"/>
  <c r="J13" i="3" l="1"/>
  <c r="J12" i="3"/>
  <c r="J11" i="5" l="1"/>
  <c r="J12" i="5" l="1"/>
  <c r="K12" i="5" s="1"/>
  <c r="K11" i="5"/>
  <c r="X28" i="5"/>
  <c r="Z27" i="5"/>
  <c r="X27" i="5"/>
  <c r="Z26" i="5"/>
  <c r="X26" i="5"/>
  <c r="V28" i="5"/>
  <c r="X23" i="5"/>
  <c r="J7" i="5"/>
  <c r="J8" i="5" l="1"/>
  <c r="K8" i="5" s="1"/>
  <c r="K7" i="5"/>
  <c r="V23" i="5"/>
  <c r="I19" i="6" l="1"/>
  <c r="I18" i="6"/>
  <c r="I17" i="6"/>
  <c r="I16" i="6"/>
  <c r="I15" i="6"/>
  <c r="I14" i="6"/>
  <c r="I13" i="6"/>
  <c r="I12" i="6"/>
  <c r="I11" i="6"/>
  <c r="I10" i="6"/>
  <c r="X22" i="5"/>
  <c r="X24" i="5"/>
  <c r="Z24" i="5"/>
  <c r="X25" i="5"/>
  <c r="Z25" i="5"/>
  <c r="I24" i="5"/>
  <c r="J24" i="5" s="1"/>
  <c r="I23" i="5"/>
  <c r="I20" i="5"/>
  <c r="I19" i="5"/>
  <c r="C2" i="4"/>
  <c r="J11" i="3"/>
  <c r="P11" i="3" s="1"/>
  <c r="J10" i="3"/>
  <c r="P10" i="3" s="1"/>
  <c r="J9" i="3"/>
  <c r="P9" i="3" s="1"/>
  <c r="J8" i="3"/>
  <c r="P8" i="3" s="1"/>
  <c r="J7" i="3"/>
  <c r="P7" i="3" s="1"/>
  <c r="E2" i="3"/>
  <c r="P13" i="3"/>
  <c r="J20" i="5" l="1"/>
  <c r="J19" i="5" s="1"/>
  <c r="K20" i="5"/>
  <c r="V25" i="5" s="1"/>
  <c r="R21" i="4"/>
  <c r="P12" i="3"/>
  <c r="K19" i="5"/>
  <c r="V24" i="5" s="1"/>
  <c r="J23" i="5"/>
  <c r="K23" i="5" s="1"/>
  <c r="V26" i="5" s="1"/>
  <c r="V22" i="5" l="1"/>
  <c r="R24" i="4"/>
  <c r="K24" i="5"/>
  <c r="V27" i="5" s="1"/>
  <c r="R20" i="4"/>
  <c r="R23" i="4"/>
  <c r="R26" i="4"/>
  <c r="R22" i="4"/>
  <c r="R25" i="4"/>
  <c r="R11" i="4"/>
  <c r="R19" i="4"/>
</calcChain>
</file>

<file path=xl/sharedStrings.xml><?xml version="1.0" encoding="utf-8"?>
<sst xmlns="http://schemas.openxmlformats.org/spreadsheetml/2006/main" count="228" uniqueCount="174">
  <si>
    <t>Jongerennormen</t>
  </si>
  <si>
    <t>20, 1, a</t>
  </si>
  <si>
    <t>Alleenstaande van 18, 19 of 20 jaar met of zonder tlk kind</t>
  </si>
  <si>
    <t>20, 1, b</t>
  </si>
  <si>
    <t>Echtgenoten, beide echtgenoten 18, 19 of 20 jaar, zonder tlk kind</t>
  </si>
  <si>
    <t>20, 1, c</t>
  </si>
  <si>
    <t>Echtgenoten, één echtgenoot is 18, 19 of 20 jaar, de ander is 21 jaar of ouder, zonder tlk kind</t>
  </si>
  <si>
    <t>Echtgenoten, beide echtgenoten 18, 19 of 20 jaar, met tlk kind</t>
  </si>
  <si>
    <t>20, 2, b</t>
  </si>
  <si>
    <t>Echtgenoten, één echtgenoot is 18, 19 of 20 jaar, de ander is 21 jaar of ouder, met tlk kind</t>
  </si>
  <si>
    <t>Norm 21 jarigen of ouder maar jonger dan pgl</t>
  </si>
  <si>
    <t>21, a</t>
  </si>
  <si>
    <t>Alleenstaande of alleenstaande ouder 21 jaar of ouder en jonger dan pgl</t>
  </si>
  <si>
    <t>21, b</t>
  </si>
  <si>
    <t>Echtgenoten, beide echtgenoten 21 jaar of ouder en jonger dan pgl</t>
  </si>
  <si>
    <t>22, a</t>
  </si>
  <si>
    <t>Alleenstaande of alleenstaande ouder pgl of ouder</t>
  </si>
  <si>
    <t>22, b</t>
  </si>
  <si>
    <t>Echtgenoten, beide echtgenoten pgl of ouder</t>
  </si>
  <si>
    <t>22, c</t>
  </si>
  <si>
    <t>Echtgenoten, één echtgenoten is 21 jaar of ouder en jonger dan pgl, de ander pgl of ouder</t>
  </si>
  <si>
    <t>Norm in inrichting</t>
  </si>
  <si>
    <t>Basis</t>
  </si>
  <si>
    <t>23, 1, a</t>
  </si>
  <si>
    <t>Alleenstaande of alleenstaande ouder</t>
  </si>
  <si>
    <t>23, 1, b</t>
  </si>
  <si>
    <t>Echtgenoten</t>
  </si>
  <si>
    <t>Art.</t>
  </si>
  <si>
    <t>Norm</t>
  </si>
  <si>
    <t>Bedrag</t>
  </si>
  <si>
    <t>Normen Participatiewet per</t>
  </si>
  <si>
    <t>Echtgenoten beide in inrichting</t>
  </si>
  <si>
    <t>J</t>
  </si>
  <si>
    <t>N</t>
  </si>
  <si>
    <t>Normbedrag</t>
  </si>
  <si>
    <t>Kwijtscheldingsnormen per</t>
  </si>
  <si>
    <t>Categorie</t>
  </si>
  <si>
    <t>Alleenstaande (ouder) inrichting</t>
  </si>
  <si>
    <t>Echtgenoten beiden jonger dan de pgl</t>
  </si>
  <si>
    <t>Echtgenoten beiden de pgl of ouder</t>
  </si>
  <si>
    <t>Echtgenoten, één partner heeft de pgl of is ouder, de andere is jonger dan de pgl</t>
  </si>
  <si>
    <t>Alleenstaande (ouder) jonger dan de pgl</t>
  </si>
  <si>
    <t>Alleenstaande (ouder) heeft de pgl of is ouder</t>
  </si>
  <si>
    <t xml:space="preserve">90% van norm Pw </t>
  </si>
  <si>
    <t>KDLR</t>
  </si>
  <si>
    <t>Gehuwd</t>
  </si>
  <si>
    <t>1 persoon</t>
  </si>
  <si>
    <t>2 personen</t>
  </si>
  <si>
    <t>3 of meer personen</t>
  </si>
  <si>
    <t>Aftoppingsgrens hoog</t>
  </si>
  <si>
    <t>Aftoppingsgrens laag</t>
  </si>
  <si>
    <t xml:space="preserve">Basishuur </t>
  </si>
  <si>
    <t>Huurnormen per</t>
  </si>
  <si>
    <t>65% huurtoeslag</t>
  </si>
  <si>
    <t>40% huurtoeslag</t>
  </si>
  <si>
    <t>40% huurtoeslag voor pgl+ en gehandicapten</t>
  </si>
  <si>
    <t>(Geen extra huurtoeslag voor &lt; pgl)</t>
  </si>
  <si>
    <t>100% huurtoeslag</t>
  </si>
  <si>
    <t>Standaardnormhuur</t>
  </si>
  <si>
    <t>Eenpersoonsouderennormhuur</t>
  </si>
  <si>
    <t>Meerpersoonsouderennormhuur</t>
  </si>
  <si>
    <t>(Tabel) Zorgpremie</t>
  </si>
  <si>
    <t>(Tabel)    KWT normen</t>
  </si>
  <si>
    <t>Min</t>
  </si>
  <si>
    <t>Max</t>
  </si>
  <si>
    <t>eenpersoonshuishouden pensioenger. leeftijd en ouder</t>
  </si>
  <si>
    <t>tweepersoonshuishouden pensioenger. leeftijd en ouder</t>
  </si>
  <si>
    <t>drie of meerpersoonshuishoudens pensioenger. leeftijd en ouder</t>
  </si>
  <si>
    <t>(Tabel max corr woonlasten)</t>
  </si>
  <si>
    <t>(Tabel) normhuur</t>
  </si>
  <si>
    <t>Woonsoort</t>
  </si>
  <si>
    <t>Basisbeurs</t>
  </si>
  <si>
    <t>Maximum aanvullende Beurs</t>
  </si>
  <si>
    <t>Maximum Basislening</t>
  </si>
  <si>
    <t>Normbudget levenson-derhoud</t>
  </si>
  <si>
    <t>Boeken &amp; leerm. (art. 26.2.12LI)</t>
  </si>
  <si>
    <t>Forfaitair bedrag</t>
  </si>
  <si>
    <t>Normen 2006</t>
  </si>
  <si>
    <t>Boeken en leerm. 2006</t>
  </si>
  <si>
    <t>Periode:</t>
  </si>
  <si>
    <t>t/m</t>
  </si>
  <si>
    <t>Periode</t>
  </si>
  <si>
    <t>HO</t>
  </si>
  <si>
    <t>Uitwonend</t>
  </si>
  <si>
    <t>Thuiswonend</t>
  </si>
  <si>
    <t>MBO</t>
  </si>
  <si>
    <t>Formule boeken en leermiddelen:</t>
  </si>
  <si>
    <t>Eénoudertoeslag</t>
  </si>
  <si>
    <t>Bedrag boeken en leerm. 2006 + (((huidige norm - norm 2006) x 100) x (bedrag b&amp;l 2006/100)</t>
  </si>
  <si>
    <t>Normen studiefinanciering periode</t>
  </si>
  <si>
    <t>(Tabel) Studiefinanciering</t>
  </si>
  <si>
    <t>Kosten Kostenwet Invordering Rijksbelastingen</t>
  </si>
  <si>
    <t>Beheren Kosten</t>
  </si>
  <si>
    <t xml:space="preserve">Artikel </t>
  </si>
  <si>
    <t>Onderdeel</t>
  </si>
  <si>
    <t>Grensbedrag hoge/lage aanmaningskosten</t>
  </si>
  <si>
    <t>artikel 2</t>
  </si>
  <si>
    <t>Aanmaning Lage kosten (&lt; € 454)</t>
  </si>
  <si>
    <t>Aanmaning hoge kosten (≥ € 454)</t>
  </si>
  <si>
    <t>artikel 3 eerste lid</t>
  </si>
  <si>
    <t xml:space="preserve">Betekenen dwangbevel </t>
  </si>
  <si>
    <t>Elk geheel bedrag van</t>
  </si>
  <si>
    <t>plus voor elk geheel bedrag van € 45 waarmee de gevorderde som van € 45 te boven gaat</t>
  </si>
  <si>
    <t xml:space="preserve">met een maximum van </t>
  </si>
  <si>
    <t>artikel 3  tweede lid</t>
  </si>
  <si>
    <t>Doen van een ander exploot dan betekenen dwangbevel</t>
  </si>
  <si>
    <t>artikel 3  derde lid</t>
  </si>
  <si>
    <t>Afgeven kwitantie</t>
  </si>
  <si>
    <t>artikel 3  vierde lid</t>
  </si>
  <si>
    <t>Voor "gezien" doen betekenen van een exploot of ander stuk</t>
  </si>
  <si>
    <t>artikel 4  eerste lid</t>
  </si>
  <si>
    <t>In beslag nemen of opmaken proces verbaal</t>
  </si>
  <si>
    <t>Verkopen en opmaken proces verbaal van verkoop</t>
  </si>
  <si>
    <t xml:space="preserve">Na vier uren voor elk uur of deel er van </t>
  </si>
  <si>
    <t>Aanplakken verkoop</t>
  </si>
  <si>
    <t>artikel 4  tweede lid</t>
  </si>
  <si>
    <t>Opmaken ander proces verbaal</t>
  </si>
  <si>
    <t>artikel 4  derde lid</t>
  </si>
  <si>
    <t>Getuigenloon per uur of gedeelte er van</t>
  </si>
  <si>
    <t>Boetebedragen betaalverzuimboete</t>
  </si>
  <si>
    <t xml:space="preserve">IW art 63b </t>
  </si>
  <si>
    <t>Minimumbedrag boete</t>
  </si>
  <si>
    <t>Maximumbedrag boete</t>
  </si>
  <si>
    <t xml:space="preserve">(Tabel)   </t>
  </si>
  <si>
    <t>Norm voor jongere partner (geen ten laste komende kinderen)</t>
  </si>
  <si>
    <t>Norm voor jongere partner (met één of meer ten laste komende kinderen)</t>
  </si>
  <si>
    <t>22a, 3e</t>
  </si>
  <si>
    <t>Normen kostendelers</t>
  </si>
  <si>
    <t>Collegegeld-krediet</t>
  </si>
  <si>
    <t>HBO / Universiteit</t>
  </si>
  <si>
    <t>MBO uitw</t>
  </si>
  <si>
    <t>MBO thuisw</t>
  </si>
  <si>
    <t>Toeslag eenoudergezin</t>
  </si>
  <si>
    <t>Max bedrag lening Lesgeld</t>
  </si>
  <si>
    <t>Maximale beslagvrije voet per</t>
  </si>
  <si>
    <t>De beslagvrije voet in artikel 475da, eerste lid, van het Wetboek van Burgerlijke Rechtsvordering, bedragen:</t>
  </si>
  <si>
    <t xml:space="preserve">a. voor een alleenstaande: </t>
  </si>
  <si>
    <t xml:space="preserve">b. voor een alleenstaande ouder: </t>
  </si>
  <si>
    <t xml:space="preserve">c. voor gehuwden zonder kinderen: </t>
  </si>
  <si>
    <t xml:space="preserve">d. voor gehuwden met een of meer kinderen: </t>
  </si>
  <si>
    <t>20, 2, c</t>
  </si>
  <si>
    <t>ntb</t>
  </si>
  <si>
    <t>Norm pensioengerechtigden</t>
  </si>
  <si>
    <t>Normen wet Kindgebonden budget per</t>
  </si>
  <si>
    <t>(Tabel) Kindgebonden budget</t>
  </si>
  <si>
    <t>Normbedragen KGB</t>
  </si>
  <si>
    <t xml:space="preserve">Art. 2 </t>
  </si>
  <si>
    <t>1 kind</t>
  </si>
  <si>
    <t>Per kind &gt;=  12 &lt; 16</t>
  </si>
  <si>
    <t>Per kind &gt;= 16 &lt; 18</t>
  </si>
  <si>
    <t>Ouder zonder partner</t>
  </si>
  <si>
    <t>lid 4</t>
  </si>
  <si>
    <t>lid 5</t>
  </si>
  <si>
    <t>lid 6</t>
  </si>
  <si>
    <t>lid 2 sub a</t>
  </si>
  <si>
    <t>lid 2 sub b</t>
  </si>
  <si>
    <t>Voor ieder volgend kind</t>
  </si>
  <si>
    <t xml:space="preserve">Let op! Lid 2 sub c en d zijn vervallen. Dit betekent ook een aanpassing in de IV! </t>
  </si>
  <si>
    <t>De berekening moet hierop aangepast worden</t>
  </si>
  <si>
    <t>Tijdelijke wet verlaging eigen bijdrage huurtoeslag</t>
  </si>
  <si>
    <t>VOW/Buitenland (art.1cbis.2, tweede lid, URIW 1990)</t>
  </si>
  <si>
    <t xml:space="preserve">Standaard Normhuur </t>
  </si>
  <si>
    <t>Basishuur éénpersoonhuishouden</t>
  </si>
  <si>
    <t>Basishuur meerpersoonshuishouden</t>
  </si>
  <si>
    <t>Normhuur éénpersoonshouden</t>
  </si>
  <si>
    <t>Normhuur meerpersoonshuishouden</t>
  </si>
  <si>
    <t>Maximale huurgrens ≥ 21 jr en gehandicapten jongeren &lt; 21 jr</t>
  </si>
  <si>
    <t>Kwaliteitsgrens (max. huurgrens voor jongeren &lt; 21 jaar)</t>
  </si>
  <si>
    <t>jongeren tot 21 jaar</t>
  </si>
  <si>
    <t xml:space="preserve">eenpersoonshuishouden 21 tot pensioenger. leeftijd </t>
  </si>
  <si>
    <t>tweepersoonshuishouden 21 tot pensioenger. leeftijd</t>
  </si>
  <si>
    <t>tweepersoonshuishouden 21 tot pensioenger. leeftijd of ouder en gehandic.</t>
  </si>
  <si>
    <t>drie of meerpersoonshuishouden 21 tot pensioenger. leeftijd</t>
  </si>
  <si>
    <t>drie of meerpersoonshuishouden 21 tot pensioenger. Leeftijd + gehandic.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</si>
</sst>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[$-413]d\ mmmm\ yyyy;@"/>
    <numFmt numFmtId="165" formatCode="dd/mm/yy;@"/>
    <numFmt numFmtId="166" formatCode="_-* #,##0_-;_-* #,##0\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b/>
      <sz val="9.5"/>
      <color indexed="8"/>
      <name val="Arial"/>
      <family val="2"/>
    </font>
    <font>
      <sz val="11"/>
      <name val="Calibri"/>
      <family val="2"/>
    </font>
    <font>
      <sz val="11"/>
      <color indexed="9"/>
      <name val="Calibri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0" applyNumberFormat="1" applyFill="1"/>
    <xf numFmtId="0" fontId="1" fillId="3" borderId="0" xfId="0" applyFont="1" applyFill="1" applyAlignment="1">
      <alignment horizontal="left"/>
    </xf>
    <xf numFmtId="0" fontId="0" fillId="3" borderId="2" xfId="0" applyFill="1" applyBorder="1"/>
    <xf numFmtId="0" fontId="1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right"/>
    </xf>
    <xf numFmtId="44" fontId="0" fillId="3" borderId="0" xfId="0" applyNumberFormat="1" applyFill="1" applyBorder="1" applyAlignment="1">
      <alignment horizontal="right"/>
    </xf>
    <xf numFmtId="0" fontId="1" fillId="3" borderId="0" xfId="0" applyFont="1" applyFill="1" applyBorder="1" applyAlignment="1">
      <alignment horizontal="center"/>
    </xf>
    <xf numFmtId="44" fontId="0" fillId="0" borderId="10" xfId="0" applyNumberFormat="1" applyFill="1" applyBorder="1"/>
    <xf numFmtId="44" fontId="0" fillId="0" borderId="11" xfId="0" applyNumberFormat="1" applyFill="1" applyBorder="1"/>
    <xf numFmtId="164" fontId="1" fillId="0" borderId="10" xfId="0" applyNumberFormat="1" applyFont="1" applyFill="1" applyBorder="1" applyAlignment="1">
      <alignment horizontal="center"/>
    </xf>
    <xf numFmtId="0" fontId="0" fillId="3" borderId="0" xfId="0" applyNumberFormat="1" applyFill="1" applyBorder="1" applyAlignment="1">
      <alignment horizontal="right"/>
    </xf>
    <xf numFmtId="44" fontId="0" fillId="3" borderId="0" xfId="0" applyNumberFormat="1" applyFill="1" applyBorder="1"/>
    <xf numFmtId="0" fontId="0" fillId="3" borderId="0" xfId="0" applyFill="1" applyBorder="1" applyAlignment="1">
      <alignment horizontal="center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164" fontId="1" fillId="3" borderId="0" xfId="0" applyNumberFormat="1" applyFont="1" applyFill="1" applyBorder="1" applyAlignment="1">
      <alignment horizontal="center"/>
    </xf>
    <xf numFmtId="43" fontId="0" fillId="3" borderId="0" xfId="0" applyNumberFormat="1" applyFill="1" applyBorder="1"/>
    <xf numFmtId="44" fontId="0" fillId="0" borderId="10" xfId="0" applyNumberFormat="1" applyFill="1" applyBorder="1" applyProtection="1">
      <protection locked="0"/>
    </xf>
    <xf numFmtId="44" fontId="0" fillId="0" borderId="11" xfId="0" applyNumberFormat="1" applyFill="1" applyBorder="1" applyProtection="1">
      <protection locked="0"/>
    </xf>
    <xf numFmtId="44" fontId="0" fillId="0" borderId="10" xfId="0" applyNumberFormat="1" applyFill="1" applyBorder="1" applyAlignment="1" applyProtection="1">
      <alignment horizontal="right"/>
      <protection locked="0"/>
    </xf>
    <xf numFmtId="44" fontId="0" fillId="0" borderId="11" xfId="0" applyNumberFormat="1" applyFill="1" applyBorder="1" applyAlignment="1" applyProtection="1">
      <alignment horizontal="right"/>
      <protection locked="0"/>
    </xf>
    <xf numFmtId="164" fontId="1" fillId="0" borderId="10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1" fillId="4" borderId="0" xfId="0" applyFont="1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3" borderId="0" xfId="0" applyFont="1" applyFill="1" applyBorder="1" applyAlignment="1"/>
    <xf numFmtId="0" fontId="0" fillId="3" borderId="0" xfId="0" applyFill="1" applyBorder="1" applyAlignme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wrapText="1"/>
    </xf>
    <xf numFmtId="0" fontId="2" fillId="3" borderId="0" xfId="0" applyFont="1" applyFill="1" applyBorder="1"/>
    <xf numFmtId="43" fontId="1" fillId="3" borderId="0" xfId="0" applyNumberFormat="1" applyFont="1" applyFill="1" applyBorder="1" applyAlignment="1"/>
    <xf numFmtId="44" fontId="0" fillId="3" borderId="0" xfId="0" applyNumberFormat="1" applyFill="1" applyBorder="1" applyAlignment="1"/>
    <xf numFmtId="9" fontId="1" fillId="3" borderId="0" xfId="0" applyNumberFormat="1" applyFont="1" applyFill="1" applyBorder="1" applyAlignment="1">
      <alignment horizontal="center"/>
    </xf>
    <xf numFmtId="43" fontId="1" fillId="3" borderId="0" xfId="0" applyNumberFormat="1" applyFont="1" applyFill="1" applyBorder="1"/>
    <xf numFmtId="0" fontId="1" fillId="3" borderId="0" xfId="0" applyFont="1" applyFill="1" applyAlignment="1">
      <alignment horizontal="center" wrapText="1"/>
    </xf>
    <xf numFmtId="44" fontId="0" fillId="3" borderId="0" xfId="0" applyNumberFormat="1" applyFill="1" applyBorder="1" applyAlignment="1">
      <alignment horizontal="center"/>
    </xf>
    <xf numFmtId="44" fontId="0" fillId="0" borderId="12" xfId="0" applyNumberFormat="1" applyFill="1" applyBorder="1" applyProtection="1">
      <protection locked="0"/>
    </xf>
    <xf numFmtId="0" fontId="0" fillId="4" borderId="4" xfId="0" applyFont="1" applyFill="1" applyBorder="1" applyProtection="1"/>
    <xf numFmtId="0" fontId="3" fillId="4" borderId="0" xfId="0" applyFont="1" applyFill="1" applyBorder="1" applyAlignment="1" applyProtection="1">
      <alignment horizontal="center" vertical="center"/>
    </xf>
    <xf numFmtId="0" fontId="0" fillId="4" borderId="0" xfId="0" applyFont="1" applyFill="1" applyBorder="1" applyAlignment="1" applyProtection="1">
      <alignment horizontal="center" vertical="top"/>
    </xf>
    <xf numFmtId="0" fontId="0" fillId="4" borderId="0" xfId="0" applyFont="1" applyFill="1" applyBorder="1" applyProtection="1"/>
    <xf numFmtId="0" fontId="0" fillId="4" borderId="1" xfId="0" applyFont="1" applyFill="1" applyBorder="1" applyProtection="1"/>
    <xf numFmtId="0" fontId="3" fillId="4" borderId="0" xfId="0" applyFont="1" applyFill="1" applyBorder="1" applyAlignment="1" applyProtection="1">
      <alignment horizontal="left" vertical="top"/>
    </xf>
    <xf numFmtId="0" fontId="0" fillId="4" borderId="0" xfId="0" applyFont="1" applyFill="1" applyBorder="1" applyAlignment="1" applyProtection="1"/>
    <xf numFmtId="0" fontId="0" fillId="4" borderId="7" xfId="0" applyFont="1" applyFill="1" applyBorder="1" applyAlignment="1" applyProtection="1"/>
    <xf numFmtId="0" fontId="0" fillId="4" borderId="2" xfId="0" applyFont="1" applyFill="1" applyBorder="1" applyAlignment="1" applyProtection="1"/>
    <xf numFmtId="0" fontId="3" fillId="3" borderId="0" xfId="0" applyFont="1" applyFill="1" applyBorder="1" applyAlignment="1" applyProtection="1"/>
    <xf numFmtId="0" fontId="3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left"/>
    </xf>
    <xf numFmtId="0" fontId="3" fillId="3" borderId="0" xfId="0" applyFont="1" applyFill="1" applyBorder="1" applyAlignment="1" applyProtection="1">
      <alignment horizontal="right"/>
    </xf>
    <xf numFmtId="0" fontId="0" fillId="3" borderId="0" xfId="0" applyFont="1" applyFill="1" applyBorder="1" applyAlignment="1" applyProtection="1"/>
    <xf numFmtId="0" fontId="3" fillId="3" borderId="0" xfId="0" applyFont="1" applyFill="1" applyBorder="1" applyAlignment="1" applyProtection="1">
      <alignment horizontal="right" vertical="top"/>
    </xf>
    <xf numFmtId="0" fontId="3" fillId="3" borderId="0" xfId="0" applyFont="1" applyFill="1" applyBorder="1" applyAlignment="1" applyProtection="1">
      <alignment horizontal="center" vertical="top"/>
    </xf>
    <xf numFmtId="4" fontId="3" fillId="3" borderId="0" xfId="0" applyNumberFormat="1" applyFont="1" applyFill="1" applyBorder="1" applyAlignment="1" applyProtection="1">
      <alignment horizontal="right"/>
    </xf>
    <xf numFmtId="0" fontId="0" fillId="3" borderId="0" xfId="0" applyFont="1" applyFill="1" applyBorder="1" applyAlignment="1" applyProtection="1">
      <alignment horizontal="left" vertical="top"/>
    </xf>
    <xf numFmtId="0" fontId="0" fillId="3" borderId="0" xfId="0" applyFont="1" applyFill="1" applyBorder="1" applyAlignment="1" applyProtection="1">
      <alignment horizontal="center" vertical="top"/>
    </xf>
    <xf numFmtId="4" fontId="0" fillId="3" borderId="0" xfId="0" applyNumberFormat="1" applyFont="1" applyFill="1" applyBorder="1" applyAlignment="1" applyProtection="1">
      <alignment horizontal="right"/>
    </xf>
    <xf numFmtId="0" fontId="0" fillId="3" borderId="0" xfId="0" applyFont="1" applyFill="1" applyBorder="1" applyAlignment="1" applyProtection="1">
      <alignment vertical="top"/>
    </xf>
    <xf numFmtId="0" fontId="0" fillId="3" borderId="0" xfId="0" applyFont="1" applyFill="1" applyBorder="1" applyAlignment="1" applyProtection="1">
      <alignment horizontal="left"/>
    </xf>
    <xf numFmtId="0" fontId="0" fillId="3" borderId="0" xfId="0" applyFont="1" applyFill="1" applyBorder="1" applyAlignment="1" applyProtection="1">
      <alignment horizontal="center"/>
    </xf>
    <xf numFmtId="4" fontId="0" fillId="3" borderId="0" xfId="0" applyNumberFormat="1" applyFont="1" applyFill="1" applyBorder="1" applyAlignment="1" applyProtection="1">
      <alignment horizontal="center"/>
    </xf>
    <xf numFmtId="4" fontId="4" fillId="3" borderId="0" xfId="0" applyNumberFormat="1" applyFont="1" applyFill="1" applyBorder="1" applyAlignment="1" applyProtection="1">
      <alignment horizontal="left"/>
    </xf>
    <xf numFmtId="0" fontId="0" fillId="3" borderId="0" xfId="0" applyFont="1" applyFill="1" applyBorder="1" applyAlignment="1" applyProtection="1">
      <alignment horizontal="left" vertical="top" wrapText="1"/>
    </xf>
    <xf numFmtId="0" fontId="0" fillId="3" borderId="0" xfId="0" applyFont="1" applyFill="1" applyBorder="1" applyAlignment="1" applyProtection="1">
      <alignment horizontal="center" vertical="top" wrapText="1"/>
    </xf>
    <xf numFmtId="4" fontId="0" fillId="3" borderId="0" xfId="0" applyNumberFormat="1" applyFont="1" applyFill="1" applyBorder="1" applyAlignment="1" applyProtection="1">
      <alignment horizontal="right" wrapText="1"/>
    </xf>
    <xf numFmtId="0" fontId="0" fillId="3" borderId="0" xfId="0" applyFont="1" applyFill="1" applyBorder="1" applyAlignment="1" applyProtection="1">
      <alignment wrapText="1"/>
    </xf>
    <xf numFmtId="4" fontId="0" fillId="3" borderId="0" xfId="0" applyNumberFormat="1" applyFont="1" applyFill="1" applyBorder="1" applyAlignment="1" applyProtection="1">
      <alignment horizontal="left" vertical="top" wrapText="1"/>
    </xf>
    <xf numFmtId="4" fontId="0" fillId="3" borderId="0" xfId="0" applyNumberFormat="1" applyFont="1" applyFill="1" applyBorder="1" applyAlignment="1" applyProtection="1">
      <alignment horizontal="center" vertical="top" wrapText="1"/>
    </xf>
    <xf numFmtId="0" fontId="0" fillId="3" borderId="0" xfId="0" applyFont="1" applyFill="1" applyBorder="1" applyAlignment="1" applyProtection="1">
      <alignment vertical="top" wrapText="1"/>
    </xf>
    <xf numFmtId="0" fontId="3" fillId="3" borderId="0" xfId="0" applyFont="1" applyFill="1" applyBorder="1" applyAlignment="1" applyProtection="1">
      <alignment horizontal="left" vertical="top"/>
    </xf>
    <xf numFmtId="0" fontId="0" fillId="2" borderId="15" xfId="0" applyFont="1" applyFill="1" applyBorder="1" applyAlignment="1" applyProtection="1"/>
    <xf numFmtId="0" fontId="0" fillId="2" borderId="15" xfId="0" applyFont="1" applyFill="1" applyBorder="1" applyAlignment="1" applyProtection="1">
      <alignment horizontal="center" vertical="top" wrapText="1"/>
    </xf>
    <xf numFmtId="0" fontId="0" fillId="2" borderId="15" xfId="0" applyFont="1" applyFill="1" applyBorder="1" applyAlignment="1" applyProtection="1">
      <alignment horizontal="center" wrapText="1"/>
    </xf>
    <xf numFmtId="0" fontId="0" fillId="2" borderId="15" xfId="0" applyFont="1" applyFill="1" applyBorder="1" applyAlignment="1" applyProtection="1">
      <alignment horizontal="center"/>
    </xf>
    <xf numFmtId="0" fontId="0" fillId="2" borderId="15" xfId="0" applyFont="1" applyFill="1" applyBorder="1" applyAlignment="1" applyProtection="1">
      <alignment horizontal="center" vertical="top"/>
    </xf>
    <xf numFmtId="4" fontId="0" fillId="2" borderId="15" xfId="0" applyNumberFormat="1" applyFont="1" applyFill="1" applyBorder="1" applyAlignment="1" applyProtection="1">
      <alignment horizontal="center"/>
    </xf>
    <xf numFmtId="0" fontId="0" fillId="2" borderId="16" xfId="0" applyFont="1" applyFill="1" applyBorder="1" applyAlignment="1" applyProtection="1"/>
    <xf numFmtId="0" fontId="3" fillId="2" borderId="9" xfId="0" applyFont="1" applyFill="1" applyBorder="1" applyAlignment="1" applyProtection="1">
      <alignment horizontal="center" vertical="top"/>
    </xf>
    <xf numFmtId="4" fontId="3" fillId="3" borderId="0" xfId="0" applyNumberFormat="1" applyFont="1" applyFill="1" applyBorder="1" applyAlignment="1" applyProtection="1">
      <alignment horizontal="center" vertical="top"/>
    </xf>
    <xf numFmtId="44" fontId="0" fillId="3" borderId="0" xfId="0" applyNumberFormat="1" applyFont="1" applyFill="1" applyBorder="1" applyAlignment="1" applyProtection="1">
      <alignment horizontal="right" wrapText="1"/>
    </xf>
    <xf numFmtId="44" fontId="0" fillId="3" borderId="0" xfId="0" applyNumberFormat="1" applyFont="1" applyFill="1" applyBorder="1" applyAlignment="1" applyProtection="1">
      <alignment horizontal="right"/>
    </xf>
    <xf numFmtId="44" fontId="0" fillId="0" borderId="10" xfId="0" applyNumberFormat="1" applyFont="1" applyFill="1" applyBorder="1" applyAlignment="1" applyProtection="1">
      <alignment horizontal="right"/>
      <protection locked="0"/>
    </xf>
    <xf numFmtId="44" fontId="0" fillId="0" borderId="17" xfId="0" applyNumberFormat="1" applyFont="1" applyFill="1" applyBorder="1" applyAlignment="1" applyProtection="1">
      <alignment horizontal="right"/>
      <protection locked="0"/>
    </xf>
    <xf numFmtId="44" fontId="0" fillId="0" borderId="11" xfId="0" applyNumberFormat="1" applyFont="1" applyFill="1" applyBorder="1" applyAlignment="1" applyProtection="1">
      <alignment horizontal="right"/>
      <protection locked="0"/>
    </xf>
    <xf numFmtId="164" fontId="1" fillId="3" borderId="0" xfId="0" applyNumberFormat="1" applyFont="1" applyFill="1" applyBorder="1" applyAlignment="1" applyProtection="1">
      <alignment horizontal="center"/>
      <protection locked="0"/>
    </xf>
    <xf numFmtId="44" fontId="0" fillId="0" borderId="14" xfId="0" applyNumberFormat="1" applyFont="1" applyFill="1" applyBorder="1" applyAlignment="1" applyProtection="1">
      <alignment horizontal="right"/>
      <protection locked="0"/>
    </xf>
    <xf numFmtId="44" fontId="0" fillId="3" borderId="0" xfId="0" applyNumberFormat="1" applyFont="1" applyFill="1" applyBorder="1" applyAlignment="1" applyProtection="1">
      <alignment horizontal="right"/>
      <protection locked="0"/>
    </xf>
    <xf numFmtId="4" fontId="0" fillId="3" borderId="0" xfId="0" applyNumberFormat="1" applyFont="1" applyFill="1" applyBorder="1" applyAlignment="1" applyProtection="1">
      <alignment horizontal="right"/>
      <protection locked="0"/>
    </xf>
    <xf numFmtId="0" fontId="0" fillId="3" borderId="0" xfId="0" applyFill="1" applyBorder="1" applyAlignment="1">
      <alignment horizontal="right" wrapText="1"/>
    </xf>
    <xf numFmtId="0" fontId="0" fillId="4" borderId="2" xfId="0" applyFont="1" applyFill="1" applyBorder="1" applyAlignment="1" applyProtection="1">
      <alignment vertical="top"/>
    </xf>
    <xf numFmtId="0" fontId="0" fillId="4" borderId="2" xfId="0" applyFill="1" applyBorder="1" applyAlignment="1"/>
    <xf numFmtId="0" fontId="0" fillId="4" borderId="0" xfId="0" applyFill="1"/>
    <xf numFmtId="0" fontId="0" fillId="4" borderId="0" xfId="0" applyFill="1" applyBorder="1" applyAlignment="1">
      <alignment horizontal="right"/>
    </xf>
    <xf numFmtId="0" fontId="1" fillId="4" borderId="4" xfId="0" applyFont="1" applyFill="1" applyBorder="1" applyAlignment="1">
      <alignment wrapText="1"/>
    </xf>
    <xf numFmtId="0" fontId="1" fillId="4" borderId="0" xfId="0" applyFont="1" applyFill="1" applyBorder="1" applyAlignment="1">
      <alignment horizontal="center"/>
    </xf>
    <xf numFmtId="0" fontId="0" fillId="4" borderId="1" xfId="0" applyFill="1" applyBorder="1" applyAlignment="1">
      <alignment horizontal="right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44" fontId="0" fillId="4" borderId="4" xfId="0" applyNumberFormat="1" applyFill="1" applyBorder="1" applyAlignment="1">
      <alignment horizontal="right"/>
    </xf>
    <xf numFmtId="0" fontId="0" fillId="4" borderId="5" xfId="0" applyNumberFormat="1" applyFill="1" applyBorder="1" applyAlignment="1">
      <alignment horizontal="right"/>
    </xf>
    <xf numFmtId="42" fontId="0" fillId="0" borderId="26" xfId="0" applyNumberFormat="1" applyFill="1" applyBorder="1"/>
    <xf numFmtId="44" fontId="0" fillId="0" borderId="26" xfId="0" applyNumberFormat="1" applyFill="1" applyBorder="1" applyAlignment="1" applyProtection="1">
      <alignment horizontal="right"/>
      <protection locked="0"/>
    </xf>
    <xf numFmtId="0" fontId="0" fillId="4" borderId="0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applyFill="1" applyBorder="1"/>
    <xf numFmtId="0" fontId="3" fillId="4" borderId="0" xfId="0" applyFont="1" applyFill="1" applyBorder="1" applyAlignment="1" applyProtection="1">
      <alignment horizontal="left" vertical="center"/>
    </xf>
    <xf numFmtId="42" fontId="0" fillId="0" borderId="27" xfId="0" applyNumberFormat="1" applyFill="1" applyBorder="1"/>
    <xf numFmtId="42" fontId="0" fillId="0" borderId="28" xfId="0" applyNumberFormat="1" applyFill="1" applyBorder="1"/>
    <xf numFmtId="0" fontId="1" fillId="4" borderId="0" xfId="0" applyFont="1" applyFill="1"/>
    <xf numFmtId="0" fontId="0" fillId="4" borderId="0" xfId="0" applyFont="1" applyFill="1" applyBorder="1" applyAlignment="1" applyProtection="1">
      <alignment horizontal="right" vertical="top"/>
    </xf>
    <xf numFmtId="0" fontId="0" fillId="3" borderId="0" xfId="0" applyFont="1" applyFill="1" applyBorder="1" applyProtection="1"/>
    <xf numFmtId="0" fontId="0" fillId="3" borderId="0" xfId="0" applyFill="1" applyBorder="1" applyProtection="1"/>
    <xf numFmtId="4" fontId="0" fillId="3" borderId="0" xfId="0" applyNumberFormat="1" applyFill="1" applyBorder="1" applyProtection="1"/>
    <xf numFmtId="0" fontId="3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2" fontId="0" fillId="3" borderId="0" xfId="0" applyNumberFormat="1" applyFont="1" applyFill="1" applyBorder="1" applyAlignment="1">
      <alignment horizontal="left"/>
    </xf>
    <xf numFmtId="1" fontId="0" fillId="3" borderId="0" xfId="0" applyNumberFormat="1" applyFont="1" applyFill="1" applyBorder="1" applyAlignment="1">
      <alignment horizontal="right"/>
    </xf>
    <xf numFmtId="0" fontId="1" fillId="4" borderId="0" xfId="0" applyFont="1" applyFill="1" applyBorder="1" applyAlignment="1">
      <alignment horizontal="left"/>
    </xf>
    <xf numFmtId="0" fontId="1" fillId="4" borderId="0" xfId="0" applyFont="1" applyFill="1" applyBorder="1" applyAlignment="1" applyProtection="1">
      <alignment horizontal="center"/>
    </xf>
    <xf numFmtId="0" fontId="0" fillId="3" borderId="0" xfId="0" applyFont="1" applyFill="1" applyBorder="1" applyAlignment="1" applyProtection="1">
      <alignment horizontal="right"/>
    </xf>
    <xf numFmtId="14" fontId="0" fillId="3" borderId="0" xfId="0" applyNumberFormat="1" applyFont="1" applyFill="1" applyBorder="1" applyProtection="1"/>
    <xf numFmtId="0" fontId="3" fillId="3" borderId="0" xfId="0" applyFont="1" applyFill="1" applyBorder="1" applyAlignment="1" applyProtection="1">
      <alignment vertical="top" wrapText="1"/>
    </xf>
    <xf numFmtId="0" fontId="3" fillId="3" borderId="0" xfId="0" applyFont="1" applyFill="1" applyBorder="1" applyAlignment="1" applyProtection="1">
      <alignment horizontal="left" vertical="top" wrapText="1"/>
    </xf>
    <xf numFmtId="0" fontId="3" fillId="3" borderId="0" xfId="0" applyFont="1" applyFill="1" applyBorder="1" applyProtection="1"/>
    <xf numFmtId="4" fontId="0" fillId="3" borderId="0" xfId="0" applyNumberFormat="1" applyFont="1" applyFill="1" applyBorder="1" applyAlignment="1" applyProtection="1">
      <alignment vertical="top" wrapText="1"/>
    </xf>
    <xf numFmtId="4" fontId="0" fillId="3" borderId="0" xfId="0" applyNumberFormat="1" applyFont="1" applyFill="1" applyBorder="1" applyAlignment="1" applyProtection="1"/>
    <xf numFmtId="0" fontId="0" fillId="3" borderId="0" xfId="0" applyFont="1" applyFill="1" applyProtection="1"/>
    <xf numFmtId="0" fontId="0" fillId="2" borderId="18" xfId="0" applyFont="1" applyFill="1" applyBorder="1" applyProtection="1"/>
    <xf numFmtId="0" fontId="0" fillId="2" borderId="19" xfId="0" applyFont="1" applyFill="1" applyBorder="1" applyProtection="1"/>
    <xf numFmtId="0" fontId="0" fillId="2" borderId="20" xfId="0" applyFont="1" applyFill="1" applyBorder="1" applyProtection="1"/>
    <xf numFmtId="0" fontId="3" fillId="2" borderId="21" xfId="0" applyFont="1" applyFill="1" applyBorder="1" applyProtection="1"/>
    <xf numFmtId="0" fontId="0" fillId="2" borderId="0" xfId="0" applyFont="1" applyFill="1" applyBorder="1" applyAlignment="1" applyProtection="1">
      <alignment horizontal="center" vertical="top" wrapText="1"/>
    </xf>
    <xf numFmtId="0" fontId="0" fillId="2" borderId="21" xfId="0" applyFont="1" applyFill="1" applyBorder="1" applyProtection="1"/>
    <xf numFmtId="0" fontId="0" fillId="2" borderId="0" xfId="0" applyFont="1" applyFill="1" applyBorder="1" applyProtection="1"/>
    <xf numFmtId="0" fontId="0" fillId="2" borderId="22" xfId="0" applyFont="1" applyFill="1" applyBorder="1" applyProtection="1"/>
    <xf numFmtId="4" fontId="0" fillId="2" borderId="0" xfId="0" applyNumberFormat="1" applyFont="1" applyFill="1" applyBorder="1" applyAlignment="1" applyProtection="1">
      <alignment horizontal="center"/>
    </xf>
    <xf numFmtId="4" fontId="8" fillId="2" borderId="0" xfId="0" applyNumberFormat="1" applyFont="1" applyFill="1" applyBorder="1" applyAlignment="1" applyProtection="1">
      <alignment horizontal="center"/>
    </xf>
    <xf numFmtId="0" fontId="8" fillId="2" borderId="0" xfId="0" applyFont="1" applyFill="1" applyBorder="1" applyAlignment="1" applyProtection="1">
      <alignment horizontal="center" vertical="center"/>
    </xf>
    <xf numFmtId="0" fontId="6" fillId="2" borderId="24" xfId="0" applyFont="1" applyFill="1" applyBorder="1" applyAlignment="1" applyProtection="1">
      <alignment horizontal="center" vertical="center"/>
    </xf>
    <xf numFmtId="4" fontId="8" fillId="2" borderId="21" xfId="0" applyNumberFormat="1" applyFont="1" applyFill="1" applyBorder="1" applyAlignment="1" applyProtection="1">
      <alignment horizontal="center"/>
    </xf>
    <xf numFmtId="4" fontId="8" fillId="2" borderId="0" xfId="0" applyNumberFormat="1" applyFont="1" applyFill="1" applyBorder="1" applyAlignment="1" applyProtection="1">
      <alignment horizontal="left"/>
    </xf>
    <xf numFmtId="0" fontId="8" fillId="2" borderId="0" xfId="0" applyFont="1" applyFill="1" applyBorder="1" applyProtection="1"/>
    <xf numFmtId="0" fontId="8" fillId="2" borderId="21" xfId="0" applyFont="1" applyFill="1" applyBorder="1" applyAlignment="1" applyProtection="1">
      <alignment horizontal="center" vertical="center"/>
    </xf>
    <xf numFmtId="0" fontId="6" fillId="2" borderId="23" xfId="0" applyFont="1" applyFill="1" applyBorder="1" applyAlignment="1" applyProtection="1">
      <alignment horizontal="center" vertical="center"/>
    </xf>
    <xf numFmtId="0" fontId="7" fillId="2" borderId="24" xfId="0" applyFont="1" applyFill="1" applyBorder="1" applyAlignment="1" applyProtection="1">
      <alignment horizontal="center" vertical="center"/>
    </xf>
    <xf numFmtId="0" fontId="0" fillId="2" borderId="24" xfId="0" applyFont="1" applyFill="1" applyBorder="1" applyProtection="1"/>
    <xf numFmtId="0" fontId="0" fillId="2" borderId="25" xfId="0" applyFont="1" applyFill="1" applyBorder="1" applyProtection="1"/>
    <xf numFmtId="15" fontId="0" fillId="0" borderId="26" xfId="0" applyNumberFormat="1" applyFont="1" applyFill="1" applyBorder="1" applyAlignment="1" applyProtection="1">
      <alignment horizontal="center"/>
      <protection locked="0"/>
    </xf>
    <xf numFmtId="4" fontId="0" fillId="0" borderId="26" xfId="0" applyNumberFormat="1" applyFont="1" applyFill="1" applyBorder="1" applyAlignment="1" applyProtection="1">
      <alignment horizontal="center"/>
      <protection locked="0"/>
    </xf>
    <xf numFmtId="15" fontId="0" fillId="0" borderId="29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 applyBorder="1"/>
    <xf numFmtId="165" fontId="0" fillId="4" borderId="0" xfId="0" applyNumberFormat="1" applyFont="1" applyFill="1" applyBorder="1" applyAlignment="1" applyProtection="1">
      <alignment horizontal="right" vertical="top"/>
    </xf>
    <xf numFmtId="15" fontId="0" fillId="4" borderId="0" xfId="0" applyNumberFormat="1" applyFont="1" applyFill="1" applyBorder="1" applyAlignment="1" applyProtection="1">
      <alignment horizontal="center" vertical="top"/>
    </xf>
    <xf numFmtId="0" fontId="0" fillId="4" borderId="2" xfId="0" applyFill="1" applyBorder="1" applyAlignment="1">
      <alignment horizontal="center"/>
    </xf>
    <xf numFmtId="0" fontId="1" fillId="4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left"/>
    </xf>
    <xf numFmtId="0" fontId="0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14" fontId="3" fillId="2" borderId="0" xfId="0" applyNumberFormat="1" applyFont="1" applyFill="1" applyBorder="1"/>
    <xf numFmtId="0" fontId="0" fillId="2" borderId="0" xfId="0" applyFont="1" applyFill="1" applyBorder="1" applyAlignment="1" applyProtection="1">
      <alignment horizontal="left"/>
    </xf>
    <xf numFmtId="0" fontId="0" fillId="2" borderId="0" xfId="0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 applyProtection="1">
      <alignment horizontal="center"/>
      <protection locked="0"/>
    </xf>
    <xf numFmtId="0" fontId="0" fillId="2" borderId="0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42" fontId="0" fillId="0" borderId="26" xfId="0" applyNumberFormat="1" applyFill="1" applyBorder="1" applyProtection="1">
      <protection locked="0"/>
    </xf>
    <xf numFmtId="42" fontId="0" fillId="2" borderId="0" xfId="0" applyNumberFormat="1" applyFill="1" applyBorder="1"/>
    <xf numFmtId="42" fontId="0" fillId="2" borderId="0" xfId="0" applyNumberFormat="1" applyFont="1" applyFill="1" applyBorder="1" applyProtection="1"/>
    <xf numFmtId="42" fontId="3" fillId="2" borderId="0" xfId="0" applyNumberFormat="1" applyFont="1" applyFill="1" applyBorder="1"/>
    <xf numFmtId="0" fontId="0" fillId="4" borderId="0" xfId="0" applyFont="1" applyFill="1" applyBorder="1" applyAlignment="1" applyProtection="1">
      <alignment horizontal="right"/>
    </xf>
    <xf numFmtId="0" fontId="0" fillId="4" borderId="0" xfId="0" applyFill="1" applyBorder="1" applyAlignment="1">
      <alignment horizontal="center" vertical="center"/>
    </xf>
    <xf numFmtId="0" fontId="1" fillId="4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>
      <alignment wrapText="1"/>
    </xf>
    <xf numFmtId="0" fontId="10" fillId="2" borderId="0" xfId="0" applyFont="1" applyFill="1" applyBorder="1"/>
    <xf numFmtId="166" fontId="11" fillId="2" borderId="0" xfId="0" applyNumberFormat="1" applyFont="1" applyFill="1" applyBorder="1"/>
    <xf numFmtId="0" fontId="0" fillId="5" borderId="26" xfId="0" applyFill="1" applyBorder="1" applyProtection="1">
      <protection locked="0"/>
    </xf>
    <xf numFmtId="0" fontId="0" fillId="4" borderId="2" xfId="0" applyFont="1" applyFill="1" applyBorder="1" applyAlignment="1" applyProtection="1">
      <alignment horizontal="center" vertical="center"/>
    </xf>
    <xf numFmtId="0" fontId="0" fillId="4" borderId="2" xfId="0" applyFont="1" applyFill="1" applyBorder="1" applyProtection="1"/>
    <xf numFmtId="0" fontId="0" fillId="4" borderId="3" xfId="0" applyFont="1" applyFill="1" applyBorder="1" applyProtection="1"/>
    <xf numFmtId="0" fontId="0" fillId="4" borderId="5" xfId="0" applyFont="1" applyFill="1" applyBorder="1" applyAlignment="1" applyProtection="1">
      <alignment horizontal="right"/>
    </xf>
    <xf numFmtId="0" fontId="0" fillId="4" borderId="7" xfId="0" applyFill="1" applyBorder="1" applyAlignment="1">
      <alignment horizontal="center" vertical="center"/>
    </xf>
    <xf numFmtId="49" fontId="0" fillId="0" borderId="26" xfId="0" applyNumberFormat="1" applyFill="1" applyBorder="1" applyAlignment="1" applyProtection="1">
      <alignment horizontal="center"/>
      <protection locked="0"/>
    </xf>
    <xf numFmtId="42" fontId="0" fillId="3" borderId="0" xfId="0" applyNumberFormat="1" applyFill="1"/>
    <xf numFmtId="0" fontId="1" fillId="6" borderId="0" xfId="0" applyFont="1" applyFill="1" applyBorder="1" applyAlignment="1">
      <alignment horizontal="center"/>
    </xf>
    <xf numFmtId="44" fontId="0" fillId="3" borderId="0" xfId="0" applyNumberFormat="1" applyFill="1" applyBorder="1" applyProtection="1">
      <protection locked="0"/>
    </xf>
    <xf numFmtId="0" fontId="3" fillId="3" borderId="0" xfId="0" applyFont="1" applyFill="1" applyBorder="1" applyAlignment="1" applyProtection="1">
      <alignment horizontal="center" vertical="center" wrapText="1"/>
    </xf>
    <xf numFmtId="0" fontId="3" fillId="3" borderId="0" xfId="0" applyFont="1" applyFill="1" applyBorder="1" applyAlignment="1" applyProtection="1">
      <alignment horizontal="center" vertical="top" wrapText="1"/>
    </xf>
    <xf numFmtId="4" fontId="0" fillId="2" borderId="0" xfId="0" applyNumberFormat="1" applyFont="1" applyFill="1" applyBorder="1" applyAlignment="1" applyProtection="1">
      <alignment horizontal="center" wrapText="1"/>
    </xf>
    <xf numFmtId="0" fontId="0" fillId="3" borderId="0" xfId="0" applyFont="1" applyFill="1" applyBorder="1" applyAlignment="1" applyProtection="1">
      <alignment horizontal="center" wrapText="1"/>
    </xf>
    <xf numFmtId="4" fontId="0" fillId="3" borderId="0" xfId="0" applyNumberFormat="1" applyFont="1" applyFill="1" applyBorder="1" applyAlignment="1" applyProtection="1">
      <alignment horizontal="center" wrapText="1"/>
    </xf>
    <xf numFmtId="0" fontId="0" fillId="2" borderId="21" xfId="0" applyFont="1" applyFill="1" applyBorder="1" applyAlignment="1" applyProtection="1">
      <alignment horizontal="center" wrapText="1"/>
    </xf>
    <xf numFmtId="0" fontId="0" fillId="2" borderId="22" xfId="0" applyFont="1" applyFill="1" applyBorder="1" applyAlignment="1" applyProtection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2" borderId="21" xfId="0" applyFill="1" applyBorder="1"/>
    <xf numFmtId="0" fontId="1" fillId="3" borderId="0" xfId="0" applyFont="1" applyFill="1" applyAlignment="1"/>
    <xf numFmtId="0" fontId="1" fillId="4" borderId="0" xfId="0" applyFont="1" applyFill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13" xfId="0" applyFont="1" applyFill="1" applyBorder="1" applyAlignment="1" applyProtection="1">
      <alignment horizontal="center" wrapText="1"/>
    </xf>
    <xf numFmtId="0" fontId="0" fillId="3" borderId="24" xfId="0" applyFont="1" applyFill="1" applyBorder="1" applyAlignment="1" applyProtection="1">
      <alignment horizontal="center" wrapText="1"/>
    </xf>
    <xf numFmtId="4" fontId="3" fillId="3" borderId="0" xfId="0" applyNumberFormat="1" applyFont="1" applyFill="1" applyBorder="1" applyAlignment="1" applyProtection="1">
      <alignment horizontal="right" vertical="top" wrapText="1"/>
    </xf>
    <xf numFmtId="0" fontId="0" fillId="2" borderId="22" xfId="0" applyFill="1" applyBorder="1"/>
    <xf numFmtId="0" fontId="1" fillId="3" borderId="0" xfId="0" applyFont="1" applyFill="1" applyAlignment="1">
      <alignment vertical="top" wrapText="1"/>
    </xf>
    <xf numFmtId="4" fontId="0" fillId="3" borderId="13" xfId="0" applyNumberFormat="1" applyFont="1" applyFill="1" applyBorder="1" applyAlignment="1" applyProtection="1">
      <alignment horizontal="center"/>
      <protection locked="0"/>
    </xf>
    <xf numFmtId="4" fontId="0" fillId="3" borderId="0" xfId="0" applyNumberFormat="1" applyFont="1" applyFill="1" applyBorder="1" applyAlignment="1" applyProtection="1">
      <alignment horizontal="center" wrapText="1"/>
      <protection locked="0"/>
    </xf>
    <xf numFmtId="4" fontId="0" fillId="3" borderId="0" xfId="0" applyNumberFormat="1" applyFont="1" applyFill="1" applyBorder="1" applyAlignment="1" applyProtection="1">
      <alignment horizontal="center"/>
      <protection locked="0"/>
    </xf>
    <xf numFmtId="0" fontId="0" fillId="3" borderId="24" xfId="0" applyFont="1" applyFill="1" applyBorder="1" applyAlignment="1" applyProtection="1">
      <alignment wrapText="1"/>
    </xf>
    <xf numFmtId="4" fontId="3" fillId="3" borderId="0" xfId="0" applyNumberFormat="1" applyFont="1" applyFill="1" applyBorder="1" applyAlignment="1" applyProtection="1">
      <alignment horizontal="left" vertical="top"/>
    </xf>
    <xf numFmtId="0" fontId="1" fillId="2" borderId="0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>
      <alignment horizontal="left"/>
    </xf>
    <xf numFmtId="0" fontId="0" fillId="4" borderId="0" xfId="0" applyFont="1" applyFill="1" applyBorder="1" applyAlignment="1" applyProtection="1">
      <alignment horizontal="center" wrapText="1"/>
    </xf>
    <xf numFmtId="1" fontId="0" fillId="0" borderId="26" xfId="0" applyNumberFormat="1" applyFont="1" applyFill="1" applyBorder="1" applyProtection="1"/>
    <xf numFmtId="0" fontId="0" fillId="4" borderId="0" xfId="0" applyFont="1" applyFill="1" applyBorder="1" applyAlignment="1" applyProtection="1">
      <alignment vertical="top"/>
    </xf>
    <xf numFmtId="0" fontId="3" fillId="4" borderId="0" xfId="0" applyFont="1" applyFill="1" applyBorder="1" applyAlignment="1" applyProtection="1">
      <alignment horizontal="center" vertical="top"/>
    </xf>
    <xf numFmtId="1" fontId="0" fillId="0" borderId="26" xfId="0" applyNumberFormat="1" applyFont="1" applyFill="1" applyBorder="1" applyAlignment="1" applyProtection="1">
      <alignment vertical="top"/>
    </xf>
    <xf numFmtId="0" fontId="14" fillId="4" borderId="0" xfId="0" applyFont="1" applyFill="1" applyBorder="1" applyAlignment="1" applyProtection="1">
      <alignment horizontal="left" vertical="top"/>
    </xf>
    <xf numFmtId="0" fontId="0" fillId="4" borderId="13" xfId="0" applyFont="1" applyFill="1" applyBorder="1" applyProtection="1"/>
    <xf numFmtId="0" fontId="0" fillId="4" borderId="13" xfId="0" applyFill="1" applyBorder="1"/>
    <xf numFmtId="0" fontId="0" fillId="4" borderId="30" xfId="0" applyFill="1" applyBorder="1"/>
    <xf numFmtId="0" fontId="0" fillId="4" borderId="22" xfId="0" applyFill="1" applyBorder="1" applyAlignment="1">
      <alignment horizontal="center" wrapText="1"/>
    </xf>
    <xf numFmtId="0" fontId="0" fillId="4" borderId="22" xfId="0" applyFill="1" applyBorder="1"/>
    <xf numFmtId="0" fontId="0" fillId="4" borderId="31" xfId="0" applyFont="1" applyFill="1" applyBorder="1" applyProtection="1"/>
    <xf numFmtId="0" fontId="0" fillId="4" borderId="32" xfId="0" applyFont="1" applyFill="1" applyBorder="1" applyAlignment="1" applyProtection="1">
      <alignment horizontal="center" wrapText="1"/>
    </xf>
    <xf numFmtId="0" fontId="0" fillId="4" borderId="32" xfId="0" applyFont="1" applyFill="1" applyBorder="1" applyProtection="1"/>
    <xf numFmtId="0" fontId="0" fillId="4" borderId="32" xfId="0" applyFont="1" applyFill="1" applyBorder="1" applyAlignment="1" applyProtection="1">
      <alignment vertical="top"/>
    </xf>
    <xf numFmtId="0" fontId="14" fillId="4" borderId="32" xfId="0" applyFont="1" applyFill="1" applyBorder="1" applyAlignment="1" applyProtection="1">
      <alignment horizontal="right"/>
    </xf>
    <xf numFmtId="0" fontId="13" fillId="4" borderId="33" xfId="0" applyFont="1" applyFill="1" applyBorder="1" applyAlignment="1" applyProtection="1">
      <alignment horizontal="center"/>
    </xf>
    <xf numFmtId="0" fontId="13" fillId="4" borderId="24" xfId="0" applyFont="1" applyFill="1" applyBorder="1" applyAlignment="1" applyProtection="1">
      <alignment horizontal="center"/>
    </xf>
    <xf numFmtId="0" fontId="3" fillId="4" borderId="24" xfId="0" applyFont="1" applyFill="1" applyBorder="1" applyAlignment="1" applyProtection="1">
      <alignment horizontal="center" vertical="center"/>
    </xf>
    <xf numFmtId="1" fontId="0" fillId="4" borderId="24" xfId="0" applyNumberFormat="1" applyFont="1" applyFill="1" applyBorder="1" applyProtection="1"/>
    <xf numFmtId="0" fontId="0" fillId="4" borderId="24" xfId="0" applyFont="1" applyFill="1" applyBorder="1" applyProtection="1"/>
    <xf numFmtId="165" fontId="12" fillId="4" borderId="24" xfId="0" applyNumberFormat="1" applyFont="1" applyFill="1" applyBorder="1" applyAlignment="1" applyProtection="1">
      <alignment horizontal="left" vertical="top"/>
    </xf>
    <xf numFmtId="0" fontId="0" fillId="4" borderId="24" xfId="0" applyFont="1" applyFill="1" applyBorder="1" applyAlignment="1" applyProtection="1">
      <alignment horizontal="center" vertical="top"/>
    </xf>
    <xf numFmtId="165" fontId="0" fillId="4" borderId="24" xfId="0" applyNumberFormat="1" applyFont="1" applyFill="1" applyBorder="1" applyAlignment="1" applyProtection="1">
      <alignment horizontal="right" vertical="top"/>
    </xf>
    <xf numFmtId="0" fontId="0" fillId="4" borderId="25" xfId="0" applyFill="1" applyBorder="1"/>
    <xf numFmtId="165" fontId="0" fillId="4" borderId="0" xfId="0" applyNumberFormat="1" applyFont="1" applyFill="1" applyBorder="1" applyAlignment="1" applyProtection="1">
      <alignment horizontal="center" vertical="top"/>
    </xf>
    <xf numFmtId="165" fontId="14" fillId="4" borderId="0" xfId="0" applyNumberFormat="1" applyFont="1" applyFill="1" applyBorder="1" applyAlignment="1">
      <alignment horizontal="center"/>
    </xf>
    <xf numFmtId="165" fontId="0" fillId="4" borderId="0" xfId="0" applyNumberFormat="1" applyFill="1" applyBorder="1"/>
    <xf numFmtId="44" fontId="0" fillId="3" borderId="0" xfId="0" applyNumberFormat="1" applyFill="1" applyAlignment="1">
      <alignment wrapText="1"/>
    </xf>
    <xf numFmtId="0" fontId="0" fillId="3" borderId="0" xfId="0" applyNumberFormat="1" applyFont="1" applyFill="1" applyBorder="1" applyAlignment="1" applyProtection="1">
      <alignment horizontal="center"/>
      <protection locked="0"/>
    </xf>
    <xf numFmtId="164" fontId="1" fillId="0" borderId="10" xfId="0" applyNumberFormat="1" applyFont="1" applyFill="1" applyBorder="1" applyAlignment="1" applyProtection="1">
      <alignment horizontal="center"/>
    </xf>
    <xf numFmtId="44" fontId="0" fillId="5" borderId="10" xfId="0" applyNumberFormat="1" applyFill="1" applyBorder="1" applyAlignment="1" applyProtection="1">
      <alignment horizontal="center"/>
      <protection locked="0"/>
    </xf>
    <xf numFmtId="0" fontId="1" fillId="2" borderId="0" xfId="0" applyFont="1" applyFill="1"/>
    <xf numFmtId="0" fontId="1" fillId="4" borderId="1" xfId="0" applyFont="1" applyFill="1" applyBorder="1"/>
    <xf numFmtId="43" fontId="0" fillId="4" borderId="7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FFCC"/>
      <color rgb="FFFFFF99"/>
      <color rgb="FFCCECFF"/>
      <color rgb="FFFEE5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7</xdr:row>
      <xdr:rowOff>83343</xdr:rowOff>
    </xdr:from>
    <xdr:to>
      <xdr:col>8</xdr:col>
      <xdr:colOff>416720</xdr:colOff>
      <xdr:row>7</xdr:row>
      <xdr:rowOff>85725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 flipV="1">
          <a:off x="4162426" y="23772018"/>
          <a:ext cx="2512219" cy="2382"/>
        </a:xfrm>
        <a:prstGeom prst="line">
          <a:avLst/>
        </a:prstGeom>
        <a:noFill/>
        <a:ln w="9525">
          <a:solidFill>
            <a:srgbClr val="8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8</xdr:row>
      <xdr:rowOff>83343</xdr:rowOff>
    </xdr:from>
    <xdr:to>
      <xdr:col>7</xdr:col>
      <xdr:colOff>440531</xdr:colOff>
      <xdr:row>8</xdr:row>
      <xdr:rowOff>85725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 flipV="1">
          <a:off x="4162425" y="24153018"/>
          <a:ext cx="1745456" cy="2382"/>
        </a:xfrm>
        <a:prstGeom prst="line">
          <a:avLst/>
        </a:prstGeom>
        <a:noFill/>
        <a:ln w="9525">
          <a:solidFill>
            <a:srgbClr val="8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24</xdr:row>
      <xdr:rowOff>76200</xdr:rowOff>
    </xdr:from>
    <xdr:to>
      <xdr:col>9</xdr:col>
      <xdr:colOff>533400</xdr:colOff>
      <xdr:row>25</xdr:row>
      <xdr:rowOff>28575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4819650" y="4391025"/>
          <a:ext cx="333375" cy="142875"/>
        </a:xfrm>
        <a:prstGeom prst="downArrow">
          <a:avLst>
            <a:gd name="adj1" fmla="val 50000"/>
            <a:gd name="adj2" fmla="val 30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opLeftCell="A11" zoomScaleNormal="100" workbookViewId="0">
      <selection activeCell="P29" sqref="P29"/>
    </sheetView>
  </sheetViews>
  <sheetFormatPr defaultColWidth="9.28515625" defaultRowHeight="15" x14ac:dyDescent="0.25"/>
  <cols>
    <col min="1" max="1" width="1.7109375" style="2" customWidth="1"/>
    <col min="2" max="3" width="9.28515625" style="2"/>
    <col min="4" max="4" width="9.5703125" style="2" customWidth="1"/>
    <col min="5" max="5" width="15.28515625" style="2" customWidth="1"/>
    <col min="6" max="8" width="9.28515625" style="2"/>
    <col min="9" max="9" width="11.7109375" style="2" customWidth="1"/>
    <col min="10" max="10" width="5.7109375" style="2" customWidth="1"/>
    <col min="11" max="11" width="2" style="2" customWidth="1"/>
    <col min="12" max="12" width="11.7109375" style="2" customWidth="1"/>
    <col min="13" max="14" width="2.28515625" style="2" customWidth="1"/>
    <col min="15" max="15" width="5.28515625" style="2" customWidth="1"/>
    <col min="16" max="16" width="11.7109375" style="2" customWidth="1"/>
    <col min="17" max="16384" width="9.28515625" style="2"/>
  </cols>
  <sheetData>
    <row r="1" spans="1:16" ht="8.1" customHeight="1" x14ac:dyDescent="0.25"/>
    <row r="2" spans="1:16" x14ac:dyDescent="0.25">
      <c r="A2" s="3"/>
      <c r="B2" s="3" t="s">
        <v>30</v>
      </c>
      <c r="E2" s="29">
        <v>46023</v>
      </c>
    </row>
    <row r="4" spans="1:16" x14ac:dyDescent="0.25">
      <c r="B4" s="3" t="s">
        <v>27</v>
      </c>
      <c r="C4" s="3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 t="s">
        <v>34</v>
      </c>
    </row>
    <row r="5" spans="1:16" ht="8.1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</row>
    <row r="6" spans="1:16" x14ac:dyDescent="0.25">
      <c r="B6" s="3" t="s">
        <v>1</v>
      </c>
      <c r="C6" s="2" t="s">
        <v>2</v>
      </c>
      <c r="O6" s="4">
        <v>1</v>
      </c>
      <c r="P6" s="25">
        <v>345.99</v>
      </c>
    </row>
    <row r="7" spans="1:16" x14ac:dyDescent="0.25">
      <c r="B7" s="3" t="s">
        <v>3</v>
      </c>
      <c r="C7" s="2" t="s">
        <v>4</v>
      </c>
      <c r="O7" s="4">
        <v>2</v>
      </c>
      <c r="P7" s="26">
        <v>691.98</v>
      </c>
    </row>
    <row r="8" spans="1:16" x14ac:dyDescent="0.25">
      <c r="B8" s="3" t="s">
        <v>5</v>
      </c>
      <c r="C8" s="2" t="s">
        <v>6</v>
      </c>
      <c r="O8" s="4">
        <v>3</v>
      </c>
      <c r="P8" s="26">
        <v>1347.06</v>
      </c>
    </row>
    <row r="9" spans="1:16" x14ac:dyDescent="0.25">
      <c r="B9" s="3" t="s">
        <v>8</v>
      </c>
      <c r="C9" s="2" t="s">
        <v>7</v>
      </c>
      <c r="O9" s="4">
        <v>4</v>
      </c>
      <c r="P9" s="26">
        <v>1092.4100000000001</v>
      </c>
    </row>
    <row r="10" spans="1:16" x14ac:dyDescent="0.25">
      <c r="B10" s="3" t="s">
        <v>140</v>
      </c>
      <c r="C10" s="2" t="s">
        <v>9</v>
      </c>
      <c r="O10" s="4">
        <v>5</v>
      </c>
      <c r="P10" s="26">
        <v>1747.49</v>
      </c>
    </row>
    <row r="11" spans="1:16" x14ac:dyDescent="0.25">
      <c r="B11" s="3"/>
      <c r="O11" s="4"/>
      <c r="P11" s="6"/>
    </row>
    <row r="12" spans="1:16" x14ac:dyDescent="0.25">
      <c r="B12" s="3"/>
      <c r="C12" s="7" t="s">
        <v>10</v>
      </c>
      <c r="O12" s="4"/>
      <c r="P12" s="6"/>
    </row>
    <row r="13" spans="1:16" ht="8.1" customHeight="1" x14ac:dyDescent="0.25">
      <c r="B13" s="3"/>
      <c r="C13" s="7"/>
      <c r="O13" s="4"/>
      <c r="P13" s="6"/>
    </row>
    <row r="14" spans="1:16" x14ac:dyDescent="0.25">
      <c r="B14" s="3" t="s">
        <v>11</v>
      </c>
      <c r="C14" s="2" t="s">
        <v>12</v>
      </c>
      <c r="O14" s="4">
        <v>6</v>
      </c>
      <c r="P14" s="25">
        <v>1401.5</v>
      </c>
    </row>
    <row r="15" spans="1:16" x14ac:dyDescent="0.25">
      <c r="B15" s="3" t="s">
        <v>13</v>
      </c>
      <c r="C15" s="2" t="s">
        <v>14</v>
      </c>
      <c r="O15" s="4">
        <v>7</v>
      </c>
      <c r="P15" s="26">
        <v>2002.13</v>
      </c>
    </row>
    <row r="16" spans="1:16" x14ac:dyDescent="0.25">
      <c r="B16" s="3"/>
      <c r="C16" s="3"/>
      <c r="O16" s="4"/>
      <c r="P16" s="6"/>
    </row>
    <row r="17" spans="2:19" x14ac:dyDescent="0.25">
      <c r="B17" s="3"/>
      <c r="C17" s="7" t="s">
        <v>142</v>
      </c>
      <c r="O17" s="4"/>
      <c r="P17" s="6"/>
    </row>
    <row r="18" spans="2:19" ht="8.1" customHeight="1" x14ac:dyDescent="0.25">
      <c r="B18" s="3"/>
      <c r="C18" s="7"/>
      <c r="O18" s="4"/>
      <c r="P18" s="6"/>
    </row>
    <row r="19" spans="2:19" x14ac:dyDescent="0.25">
      <c r="B19" s="3" t="s">
        <v>15</v>
      </c>
      <c r="C19" s="2" t="s">
        <v>16</v>
      </c>
      <c r="O19" s="4">
        <v>8</v>
      </c>
      <c r="P19" s="25">
        <v>1564.69</v>
      </c>
    </row>
    <row r="20" spans="2:19" x14ac:dyDescent="0.25">
      <c r="B20" s="3" t="s">
        <v>17</v>
      </c>
      <c r="C20" s="2" t="s">
        <v>18</v>
      </c>
      <c r="O20" s="4">
        <v>9</v>
      </c>
      <c r="P20" s="26">
        <v>2144.16</v>
      </c>
    </row>
    <row r="21" spans="2:19" x14ac:dyDescent="0.25">
      <c r="B21" s="3" t="s">
        <v>19</v>
      </c>
      <c r="C21" s="2" t="s">
        <v>20</v>
      </c>
      <c r="O21" s="4">
        <v>10</v>
      </c>
      <c r="P21" s="26">
        <v>2144.16</v>
      </c>
    </row>
    <row r="22" spans="2:19" s="22" customFormat="1" ht="27" customHeight="1" x14ac:dyDescent="0.25">
      <c r="B22" s="20"/>
      <c r="C22" s="218" t="s">
        <v>127</v>
      </c>
      <c r="D22" s="20"/>
      <c r="E22" s="20"/>
      <c r="P22" s="261"/>
    </row>
    <row r="23" spans="2:19" ht="8.1" customHeight="1" x14ac:dyDescent="0.25">
      <c r="P23" s="6"/>
    </row>
    <row r="24" spans="2:19" x14ac:dyDescent="0.25">
      <c r="B24" s="3" t="s">
        <v>126</v>
      </c>
      <c r="C24" s="2" t="s">
        <v>124</v>
      </c>
      <c r="O24" s="4">
        <v>11</v>
      </c>
      <c r="P24" s="50">
        <v>345.99</v>
      </c>
    </row>
    <row r="25" spans="2:19" x14ac:dyDescent="0.25">
      <c r="B25" s="3" t="s">
        <v>126</v>
      </c>
      <c r="C25" s="2" t="s">
        <v>125</v>
      </c>
      <c r="O25" s="4">
        <v>12</v>
      </c>
      <c r="P25" s="26">
        <v>746.42</v>
      </c>
    </row>
    <row r="26" spans="2:19" ht="39" customHeight="1" x14ac:dyDescent="0.25"/>
    <row r="27" spans="2:19" ht="45" x14ac:dyDescent="0.25">
      <c r="B27" s="20"/>
      <c r="C27" s="20" t="s">
        <v>21</v>
      </c>
      <c r="D27" s="22"/>
      <c r="E27" s="22"/>
      <c r="F27" s="22"/>
      <c r="G27" s="22"/>
      <c r="H27" s="22"/>
      <c r="J27" s="102"/>
      <c r="K27" s="109"/>
      <c r="L27" s="110" t="s">
        <v>61</v>
      </c>
      <c r="M27" s="111"/>
      <c r="N27" s="42"/>
      <c r="O27" s="48"/>
      <c r="P27" s="48" t="s">
        <v>22</v>
      </c>
    </row>
    <row r="28" spans="2:19" x14ac:dyDescent="0.25">
      <c r="B28" s="3"/>
      <c r="C28" s="3"/>
      <c r="J28" s="11"/>
      <c r="K28" s="112"/>
      <c r="L28" s="108"/>
      <c r="M28" s="113"/>
      <c r="N28" s="13"/>
      <c r="O28" s="4"/>
      <c r="P28" s="4"/>
    </row>
    <row r="29" spans="2:19" x14ac:dyDescent="0.25">
      <c r="B29" s="3" t="s">
        <v>23</v>
      </c>
      <c r="C29" s="2" t="s">
        <v>24</v>
      </c>
      <c r="J29" s="12"/>
      <c r="K29" s="114"/>
      <c r="L29" s="117">
        <v>47</v>
      </c>
      <c r="M29" s="115"/>
      <c r="N29" s="17"/>
      <c r="O29" s="4"/>
      <c r="P29" s="27">
        <v>443.76</v>
      </c>
      <c r="R29" s="6"/>
      <c r="S29" s="6"/>
    </row>
    <row r="30" spans="2:19" x14ac:dyDescent="0.25">
      <c r="B30" s="3" t="s">
        <v>25</v>
      </c>
      <c r="C30" s="2" t="s">
        <v>26</v>
      </c>
      <c r="J30" s="12"/>
      <c r="K30" s="114"/>
      <c r="L30" s="117">
        <v>106</v>
      </c>
      <c r="M30" s="115"/>
      <c r="N30" s="17"/>
      <c r="O30" s="4"/>
      <c r="P30" s="28">
        <v>690.27</v>
      </c>
      <c r="R30" s="6"/>
      <c r="S30" s="6"/>
    </row>
    <row r="31" spans="2:19" x14ac:dyDescent="0.25">
      <c r="K31" s="36"/>
      <c r="L31" s="37"/>
      <c r="M31" s="38"/>
    </row>
  </sheetData>
  <sheetProtection algorithmName="SHA-512" hashValue="5nOZ/X49bCuC1B+Lhj9pTSaO3F9OIfIqLc/UWuIaIARwdDJ/BoQm07iW6BGYubaKqyc9baQj6dVG/X9SozUHaw==" saltValue="XHRzq4/zHlSKcUmcGp8ef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0"/>
  <sheetViews>
    <sheetView workbookViewId="0">
      <selection activeCell="G6" sqref="G6"/>
    </sheetView>
  </sheetViews>
  <sheetFormatPr defaultColWidth="8.7109375" defaultRowHeight="15" x14ac:dyDescent="0.25"/>
  <cols>
    <col min="1" max="4" width="8.7109375" style="2"/>
    <col min="5" max="5" width="14.5703125" style="2" customWidth="1"/>
    <col min="6" max="6" width="8.7109375" style="2"/>
    <col min="7" max="7" width="11.5703125" style="2" customWidth="1"/>
    <col min="8" max="16384" width="8.7109375" style="2"/>
  </cols>
  <sheetData>
    <row r="2" spans="2:7" x14ac:dyDescent="0.25">
      <c r="B2" s="3" t="s">
        <v>134</v>
      </c>
      <c r="E2" s="263">
        <f>Participatiewet!E2</f>
        <v>46023</v>
      </c>
    </row>
    <row r="4" spans="2:7" x14ac:dyDescent="0.25">
      <c r="B4" s="2" t="s">
        <v>135</v>
      </c>
    </row>
    <row r="6" spans="2:7" x14ac:dyDescent="0.25">
      <c r="B6" s="2" t="s">
        <v>136</v>
      </c>
      <c r="G6" s="264">
        <v>2191.42</v>
      </c>
    </row>
    <row r="7" spans="2:7" ht="8.65" customHeight="1" x14ac:dyDescent="0.25"/>
    <row r="8" spans="2:7" x14ac:dyDescent="0.25">
      <c r="B8" s="2" t="s">
        <v>137</v>
      </c>
      <c r="G8" s="264">
        <v>2526.69</v>
      </c>
    </row>
    <row r="9" spans="2:7" ht="8.65" customHeight="1" x14ac:dyDescent="0.25"/>
    <row r="10" spans="2:7" x14ac:dyDescent="0.25">
      <c r="B10" s="2" t="s">
        <v>138</v>
      </c>
      <c r="G10" s="264">
        <v>2881.41</v>
      </c>
    </row>
    <row r="11" spans="2:7" ht="8.65" customHeight="1" x14ac:dyDescent="0.25"/>
    <row r="12" spans="2:7" x14ac:dyDescent="0.25">
      <c r="B12" s="2" t="s">
        <v>139</v>
      </c>
      <c r="G12" s="264">
        <v>3155.31</v>
      </c>
    </row>
    <row r="14" spans="2:7" x14ac:dyDescent="0.25">
      <c r="B14" s="2" t="s">
        <v>160</v>
      </c>
      <c r="G14" s="264">
        <f>0.5*G10</f>
        <v>1440.7049999999999</v>
      </c>
    </row>
    <row r="20" spans="7:7" x14ac:dyDescent="0.25">
      <c r="G20" s="5"/>
    </row>
  </sheetData>
  <sheetProtection algorithmName="SHA-512" hashValue="dj+YnrEAWQ2Mem0lnZv8KoNTL4pLA7QGfCFmHdV3bIpLvnZM8doHwSH74+wCESmcpSgdaDvma/bpd69GMKzn2w==" saltValue="0G2gF4oNbfBE9khGYnz5XA==" spinCount="10000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36"/>
  <sheetViews>
    <sheetView zoomScaleNormal="100" workbookViewId="0">
      <selection activeCell="J12" sqref="J12"/>
    </sheetView>
  </sheetViews>
  <sheetFormatPr defaultColWidth="9.28515625" defaultRowHeight="15" x14ac:dyDescent="0.25"/>
  <cols>
    <col min="1" max="1" width="1.7109375" style="2" customWidth="1"/>
    <col min="2" max="2" width="11" style="2" customWidth="1"/>
    <col min="3" max="4" width="9.28515625" style="2"/>
    <col min="5" max="5" width="15.28515625" style="2" customWidth="1"/>
    <col min="6" max="8" width="9.28515625" style="2"/>
    <col min="9" max="9" width="5.42578125" style="2" customWidth="1"/>
    <col min="10" max="10" width="11.7109375" style="2" customWidth="1"/>
    <col min="11" max="11" width="2.7109375" style="2" customWidth="1"/>
    <col min="12" max="12" width="11.7109375" style="2" customWidth="1"/>
    <col min="13" max="13" width="1.28515625" style="2" customWidth="1"/>
    <col min="14" max="14" width="2.7109375" style="2" customWidth="1"/>
    <col min="15" max="15" width="4" style="2" customWidth="1"/>
    <col min="16" max="16" width="11.7109375" style="2" customWidth="1"/>
    <col min="17" max="17" width="2.7109375" style="2" customWidth="1"/>
    <col min="18" max="18" width="10.7109375" style="5" customWidth="1"/>
    <col min="19" max="19" width="2.28515625" style="2" customWidth="1"/>
    <col min="20" max="20" width="9.28515625" style="2" customWidth="1"/>
    <col min="21" max="21" width="8.5703125" style="2" customWidth="1"/>
    <col min="22" max="22" width="4.28515625" style="2" customWidth="1"/>
    <col min="23" max="16384" width="9.28515625" style="2"/>
  </cols>
  <sheetData>
    <row r="1" spans="2:22" ht="8.1" customHeight="1" x14ac:dyDescent="0.25"/>
    <row r="2" spans="2:22" x14ac:dyDescent="0.25">
      <c r="B2" s="3" t="s">
        <v>35</v>
      </c>
      <c r="E2" s="16">
        <f>Participatiewet!E2</f>
        <v>46023</v>
      </c>
    </row>
    <row r="3" spans="2:22" x14ac:dyDescent="0.25">
      <c r="B3" s="3"/>
      <c r="E3" s="23"/>
    </row>
    <row r="4" spans="2:22" x14ac:dyDescent="0.25">
      <c r="B4" s="3"/>
      <c r="E4" s="23"/>
      <c r="O4" s="30"/>
      <c r="P4" s="31"/>
      <c r="Q4" s="31"/>
      <c r="R4" s="171"/>
      <c r="S4" s="31"/>
      <c r="T4" s="171"/>
      <c r="U4" s="31"/>
      <c r="V4" s="121"/>
    </row>
    <row r="5" spans="2:22" s="20" customFormat="1" ht="45" x14ac:dyDescent="0.25">
      <c r="B5" s="41" t="s">
        <v>36</v>
      </c>
      <c r="C5" s="41"/>
      <c r="D5" s="41"/>
      <c r="E5" s="41"/>
      <c r="F5" s="42"/>
      <c r="J5" s="20" t="s">
        <v>43</v>
      </c>
      <c r="L5" s="41"/>
      <c r="O5" s="107"/>
      <c r="P5" s="172" t="s">
        <v>62</v>
      </c>
      <c r="Q5" s="173"/>
      <c r="R5" s="172"/>
      <c r="S5" s="219"/>
      <c r="T5" s="172" t="s">
        <v>44</v>
      </c>
      <c r="U5" s="172" t="s">
        <v>45</v>
      </c>
      <c r="V5" s="174"/>
    </row>
    <row r="6" spans="2:22" ht="8.1" customHeight="1" x14ac:dyDescent="0.25">
      <c r="B6" s="10"/>
      <c r="C6" s="10"/>
      <c r="D6" s="10"/>
      <c r="E6" s="10"/>
      <c r="L6" s="10"/>
      <c r="O6" s="32"/>
      <c r="P6" s="35"/>
      <c r="Q6" s="35"/>
      <c r="R6" s="118"/>
      <c r="S6" s="105"/>
      <c r="T6" s="118"/>
      <c r="U6" s="118"/>
      <c r="V6" s="34"/>
    </row>
    <row r="7" spans="2:22" x14ac:dyDescent="0.25">
      <c r="B7" s="2" t="s">
        <v>38</v>
      </c>
      <c r="C7" s="10"/>
      <c r="D7" s="10"/>
      <c r="F7" s="18"/>
      <c r="J7" s="14">
        <f>(Participatiewet!P15*90)/100</f>
        <v>1801.9170000000001</v>
      </c>
      <c r="L7" s="18"/>
      <c r="O7" s="119">
        <v>1</v>
      </c>
      <c r="P7" s="116">
        <f>CEILING(J7,1)</f>
        <v>1802</v>
      </c>
      <c r="Q7" s="35"/>
      <c r="R7" s="118"/>
      <c r="S7" s="105"/>
      <c r="T7" s="205" t="s">
        <v>32</v>
      </c>
      <c r="U7" s="118" t="s">
        <v>32</v>
      </c>
      <c r="V7" s="34"/>
    </row>
    <row r="8" spans="2:22" x14ac:dyDescent="0.25">
      <c r="B8" s="2" t="s">
        <v>39</v>
      </c>
      <c r="C8" s="10"/>
      <c r="D8" s="10"/>
      <c r="F8" s="18"/>
      <c r="J8" s="15">
        <f>(Participatiewet!P20*90)/100</f>
        <v>1929.7439999999999</v>
      </c>
      <c r="L8" s="41"/>
      <c r="O8" s="119">
        <v>2</v>
      </c>
      <c r="P8" s="116">
        <f t="shared" ref="P8:P13" si="0">CEILING(J8,1)</f>
        <v>1930</v>
      </c>
      <c r="Q8" s="35"/>
      <c r="R8" s="172"/>
      <c r="S8" s="105"/>
      <c r="T8" s="205" t="s">
        <v>32</v>
      </c>
      <c r="U8" s="118" t="s">
        <v>32</v>
      </c>
      <c r="V8" s="34"/>
    </row>
    <row r="9" spans="2:22" x14ac:dyDescent="0.25">
      <c r="B9" s="2" t="s">
        <v>40</v>
      </c>
      <c r="C9" s="10"/>
      <c r="D9" s="10"/>
      <c r="F9" s="18"/>
      <c r="J9" s="15">
        <f>(Participatiewet!P21*90)/100</f>
        <v>1929.7439999999999</v>
      </c>
      <c r="L9" s="41"/>
      <c r="O9" s="119">
        <v>3</v>
      </c>
      <c r="P9" s="116">
        <f t="shared" si="0"/>
        <v>1930</v>
      </c>
      <c r="Q9" s="35"/>
      <c r="R9" s="118"/>
      <c r="S9" s="105"/>
      <c r="T9" s="205" t="s">
        <v>32</v>
      </c>
      <c r="U9" s="118" t="s">
        <v>32</v>
      </c>
      <c r="V9" s="34"/>
    </row>
    <row r="10" spans="2:22" x14ac:dyDescent="0.25">
      <c r="B10" s="2" t="s">
        <v>41</v>
      </c>
      <c r="C10" s="10"/>
      <c r="D10" s="10"/>
      <c r="F10" s="18"/>
      <c r="J10" s="15">
        <f>(Participatiewet!P14*90)/100</f>
        <v>1261.3499999999999</v>
      </c>
      <c r="L10" s="18"/>
      <c r="O10" s="119">
        <v>4</v>
      </c>
      <c r="P10" s="116">
        <f t="shared" si="0"/>
        <v>1262</v>
      </c>
      <c r="Q10" s="35"/>
      <c r="R10" s="172"/>
      <c r="S10" s="105"/>
      <c r="T10" s="205" t="s">
        <v>32</v>
      </c>
      <c r="U10" s="118" t="s">
        <v>33</v>
      </c>
      <c r="V10" s="34"/>
    </row>
    <row r="11" spans="2:22" x14ac:dyDescent="0.25">
      <c r="B11" s="2" t="s">
        <v>42</v>
      </c>
      <c r="C11" s="10"/>
      <c r="D11" s="10"/>
      <c r="F11" s="18"/>
      <c r="J11" s="15">
        <f>(Participatiewet!P19*90)/100</f>
        <v>1408.221</v>
      </c>
      <c r="L11" s="41"/>
      <c r="O11" s="119">
        <v>5</v>
      </c>
      <c r="P11" s="116">
        <f t="shared" si="0"/>
        <v>1409</v>
      </c>
      <c r="Q11" s="35"/>
      <c r="R11" s="172"/>
      <c r="S11" s="105"/>
      <c r="T11" s="205" t="s">
        <v>32</v>
      </c>
      <c r="U11" s="118" t="s">
        <v>33</v>
      </c>
      <c r="V11" s="34"/>
    </row>
    <row r="12" spans="2:22" x14ac:dyDescent="0.25">
      <c r="B12" s="2" t="s">
        <v>37</v>
      </c>
      <c r="C12" s="10"/>
      <c r="D12" s="10"/>
      <c r="F12" s="18"/>
      <c r="J12" s="15">
        <f>(Participatiewet!P29*2)/3</f>
        <v>295.83999999999997</v>
      </c>
      <c r="L12" s="18"/>
      <c r="O12" s="119">
        <v>6</v>
      </c>
      <c r="P12" s="116">
        <f t="shared" si="0"/>
        <v>296</v>
      </c>
      <c r="Q12" s="35"/>
      <c r="R12" s="118"/>
      <c r="S12" s="105"/>
      <c r="T12" s="205" t="s">
        <v>33</v>
      </c>
      <c r="U12" s="118" t="s">
        <v>33</v>
      </c>
      <c r="V12" s="34"/>
    </row>
    <row r="13" spans="2:22" x14ac:dyDescent="0.25">
      <c r="B13" s="2" t="s">
        <v>31</v>
      </c>
      <c r="C13" s="10"/>
      <c r="D13" s="10"/>
      <c r="F13" s="18"/>
      <c r="J13" s="15">
        <f>(Participatiewet!P30*2)/3</f>
        <v>460.18</v>
      </c>
      <c r="L13" s="18"/>
      <c r="O13" s="119">
        <v>7</v>
      </c>
      <c r="P13" s="116">
        <f t="shared" si="0"/>
        <v>461</v>
      </c>
      <c r="Q13" s="35"/>
      <c r="R13" s="118"/>
      <c r="S13" s="105"/>
      <c r="T13" s="205" t="s">
        <v>33</v>
      </c>
      <c r="U13" s="118" t="s">
        <v>32</v>
      </c>
      <c r="V13" s="34"/>
    </row>
    <row r="14" spans="2:22" x14ac:dyDescent="0.25">
      <c r="O14" s="36"/>
      <c r="P14" s="37"/>
      <c r="Q14" s="37"/>
      <c r="R14" s="172"/>
      <c r="S14" s="105"/>
      <c r="T14" s="120"/>
      <c r="U14" s="37"/>
      <c r="V14" s="38"/>
    </row>
    <row r="15" spans="2:22" x14ac:dyDescent="0.25">
      <c r="R15" s="220"/>
      <c r="S15" s="8"/>
    </row>
    <row r="16" spans="2:22" x14ac:dyDescent="0.25">
      <c r="L16" s="20"/>
    </row>
    <row r="17" spans="2:27" x14ac:dyDescent="0.25">
      <c r="I17" s="207"/>
      <c r="J17" s="206"/>
      <c r="L17" s="18"/>
    </row>
    <row r="18" spans="2:27" x14ac:dyDescent="0.25">
      <c r="I18" s="207"/>
      <c r="J18" s="206"/>
      <c r="L18" s="208"/>
    </row>
    <row r="19" spans="2:27" x14ac:dyDescent="0.25">
      <c r="I19" s="207"/>
      <c r="J19" s="206"/>
      <c r="L19" s="208"/>
    </row>
    <row r="20" spans="2:27" x14ac:dyDescent="0.25">
      <c r="I20" s="207"/>
      <c r="J20" s="206"/>
      <c r="L20" s="18"/>
    </row>
    <row r="21" spans="2:27" x14ac:dyDescent="0.25">
      <c r="I21" s="207"/>
      <c r="J21" s="206"/>
      <c r="L21" s="208"/>
    </row>
    <row r="22" spans="2:27" x14ac:dyDescent="0.25">
      <c r="I22" s="207"/>
      <c r="J22" s="206"/>
      <c r="L22" s="18"/>
    </row>
    <row r="23" spans="2:27" x14ac:dyDescent="0.25">
      <c r="B23" s="10"/>
      <c r="C23" s="10"/>
      <c r="D23" s="10"/>
      <c r="E23" s="10"/>
      <c r="F23" s="10"/>
      <c r="G23" s="10"/>
      <c r="H23" s="10"/>
      <c r="I23" s="207"/>
      <c r="J23" s="206"/>
      <c r="K23" s="10"/>
      <c r="L23" s="18"/>
      <c r="M23" s="10"/>
      <c r="N23" s="10"/>
      <c r="P23" s="6"/>
      <c r="Q23" s="10"/>
      <c r="R23" s="19"/>
      <c r="S23" s="10"/>
      <c r="T23" s="10"/>
      <c r="U23" s="10"/>
      <c r="V23" s="10"/>
      <c r="W23" s="10"/>
      <c r="X23" s="10"/>
      <c r="Y23" s="10"/>
      <c r="Z23" s="10"/>
      <c r="AA23" s="10"/>
    </row>
    <row r="24" spans="2:27" ht="18.75" x14ac:dyDescent="0.3">
      <c r="B24" s="4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9"/>
      <c r="S24" s="10"/>
      <c r="T24" s="10"/>
      <c r="U24" s="10"/>
      <c r="V24" s="10"/>
      <c r="W24" s="10"/>
      <c r="X24" s="10"/>
      <c r="Y24" s="10"/>
      <c r="Z24" s="10"/>
      <c r="AA24" s="10"/>
    </row>
    <row r="25" spans="2:27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19"/>
      <c r="S25" s="40"/>
      <c r="T25" s="40"/>
      <c r="U25" s="40"/>
      <c r="V25" s="40"/>
      <c r="W25" s="40"/>
      <c r="X25" s="40"/>
      <c r="Y25" s="40"/>
      <c r="Z25" s="40"/>
      <c r="AA25" s="10"/>
    </row>
    <row r="26" spans="2:27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9"/>
      <c r="S26" s="10"/>
      <c r="T26" s="10"/>
      <c r="U26" s="10"/>
      <c r="V26" s="10"/>
      <c r="W26" s="10"/>
      <c r="X26" s="10"/>
      <c r="Y26" s="24"/>
      <c r="Z26" s="18"/>
      <c r="AA26" s="10"/>
    </row>
    <row r="27" spans="2:27" x14ac:dyDescent="0.25">
      <c r="B27" s="40"/>
      <c r="C27" s="40"/>
      <c r="D27" s="40"/>
      <c r="E27" s="40"/>
      <c r="F27" s="40"/>
      <c r="G27" s="42"/>
      <c r="H27" s="40"/>
      <c r="I27" s="40"/>
      <c r="J27" s="40"/>
      <c r="K27" s="39"/>
      <c r="L27" s="40"/>
      <c r="M27" s="40"/>
      <c r="N27" s="40"/>
      <c r="O27" s="40"/>
      <c r="P27" s="40"/>
      <c r="Q27" s="13"/>
      <c r="R27" s="13"/>
      <c r="S27" s="40"/>
      <c r="T27" s="40"/>
      <c r="U27" s="39"/>
      <c r="V27" s="39"/>
      <c r="W27" s="39"/>
      <c r="X27" s="39"/>
      <c r="Y27" s="44"/>
      <c r="Z27" s="45"/>
      <c r="AA27" s="10"/>
    </row>
    <row r="28" spans="2:27" x14ac:dyDescent="0.25">
      <c r="B28" s="9"/>
      <c r="C28" s="9"/>
      <c r="D28" s="46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9"/>
      <c r="S28" s="10"/>
      <c r="T28" s="10"/>
      <c r="U28" s="9"/>
      <c r="V28" s="9"/>
      <c r="W28" s="9"/>
      <c r="X28" s="9"/>
      <c r="Y28" s="47"/>
      <c r="Z28" s="18"/>
      <c r="AA28" s="10"/>
    </row>
    <row r="29" spans="2:27" x14ac:dyDescent="0.25">
      <c r="B29" s="10"/>
      <c r="C29" s="10"/>
      <c r="D29" s="18"/>
      <c r="E29" s="10"/>
      <c r="F29" s="10"/>
      <c r="G29" s="18"/>
      <c r="H29" s="10"/>
      <c r="I29" s="10"/>
      <c r="J29" s="13"/>
      <c r="K29" s="10"/>
      <c r="L29" s="10"/>
      <c r="M29" s="10"/>
      <c r="N29" s="10"/>
      <c r="O29" s="10"/>
      <c r="P29" s="10"/>
      <c r="Q29" s="18"/>
      <c r="R29" s="49"/>
      <c r="S29" s="18"/>
      <c r="T29" s="18"/>
      <c r="U29" s="18"/>
      <c r="V29" s="18"/>
      <c r="W29" s="18"/>
      <c r="X29" s="18"/>
      <c r="Y29" s="18"/>
      <c r="Z29" s="18"/>
      <c r="AA29" s="10"/>
    </row>
    <row r="30" spans="2:27" x14ac:dyDescent="0.25">
      <c r="B30" s="10"/>
      <c r="C30" s="10"/>
      <c r="D30" s="18"/>
      <c r="E30" s="10"/>
      <c r="F30" s="10"/>
      <c r="G30" s="18"/>
      <c r="H30" s="10"/>
      <c r="I30" s="10"/>
      <c r="J30" s="13"/>
      <c r="K30" s="10"/>
      <c r="L30" s="10"/>
      <c r="M30" s="10"/>
      <c r="N30" s="10"/>
      <c r="O30" s="10"/>
      <c r="P30" s="10"/>
      <c r="Q30" s="18"/>
      <c r="R30" s="49"/>
      <c r="S30" s="18"/>
      <c r="T30" s="18"/>
      <c r="U30" s="18"/>
      <c r="V30" s="18"/>
      <c r="W30" s="18"/>
      <c r="X30" s="18"/>
      <c r="Y30" s="18"/>
      <c r="Z30" s="18"/>
      <c r="AA30" s="10"/>
    </row>
    <row r="31" spans="2:27" x14ac:dyDescent="0.25">
      <c r="B31" s="10"/>
      <c r="C31" s="10"/>
      <c r="D31" s="18"/>
      <c r="E31" s="10"/>
      <c r="F31" s="10"/>
      <c r="G31" s="18"/>
      <c r="H31" s="10"/>
      <c r="I31" s="10"/>
      <c r="J31" s="13"/>
      <c r="K31" s="10"/>
      <c r="L31" s="10"/>
      <c r="M31" s="10"/>
      <c r="N31" s="10"/>
      <c r="O31" s="10"/>
      <c r="P31" s="10"/>
      <c r="Q31" s="18"/>
      <c r="R31" s="49"/>
      <c r="S31" s="18"/>
      <c r="T31" s="18"/>
      <c r="U31" s="18"/>
      <c r="V31" s="18"/>
      <c r="W31" s="18"/>
      <c r="X31" s="18"/>
      <c r="Y31" s="18"/>
      <c r="Z31" s="10"/>
      <c r="AA31" s="10"/>
    </row>
    <row r="32" spans="2:27" x14ac:dyDescent="0.25">
      <c r="B32" s="10"/>
      <c r="C32" s="10"/>
      <c r="D32" s="18"/>
      <c r="E32" s="10"/>
      <c r="F32" s="10"/>
      <c r="G32" s="18"/>
      <c r="H32" s="10"/>
      <c r="I32" s="10"/>
      <c r="J32" s="13"/>
      <c r="K32" s="10"/>
      <c r="L32" s="10"/>
      <c r="M32" s="10"/>
      <c r="N32" s="10"/>
      <c r="O32" s="10"/>
      <c r="P32" s="10"/>
      <c r="Q32" s="18"/>
      <c r="R32" s="49"/>
      <c r="S32" s="18"/>
      <c r="T32" s="18"/>
      <c r="U32" s="18"/>
      <c r="V32" s="18"/>
      <c r="W32" s="18"/>
      <c r="X32" s="18"/>
      <c r="Y32" s="18"/>
      <c r="Z32" s="10"/>
      <c r="AA32" s="10"/>
    </row>
    <row r="33" spans="2:27" x14ac:dyDescent="0.25">
      <c r="B33" s="10"/>
      <c r="C33" s="10"/>
      <c r="D33" s="18"/>
      <c r="E33" s="10"/>
      <c r="F33" s="10"/>
      <c r="G33" s="18"/>
      <c r="H33" s="10"/>
      <c r="I33" s="10"/>
      <c r="J33" s="13"/>
      <c r="K33" s="10"/>
      <c r="L33" s="10"/>
      <c r="M33" s="10"/>
      <c r="N33" s="10"/>
      <c r="O33" s="10"/>
      <c r="P33" s="10"/>
      <c r="Q33" s="18"/>
      <c r="R33" s="49"/>
      <c r="S33" s="18"/>
      <c r="T33" s="18"/>
      <c r="U33" s="18"/>
      <c r="V33" s="18"/>
      <c r="W33" s="18"/>
      <c r="X33" s="18"/>
      <c r="Y33" s="18"/>
      <c r="Z33" s="10"/>
      <c r="AA33" s="10"/>
    </row>
    <row r="34" spans="2:27" x14ac:dyDescent="0.25">
      <c r="B34" s="10"/>
      <c r="C34" s="10"/>
      <c r="D34" s="18"/>
      <c r="E34" s="10"/>
      <c r="F34" s="10"/>
      <c r="G34" s="10"/>
      <c r="H34" s="10"/>
      <c r="I34" s="10"/>
      <c r="J34" s="13"/>
      <c r="K34" s="10"/>
      <c r="L34" s="10"/>
      <c r="M34" s="10"/>
      <c r="N34" s="10"/>
      <c r="O34" s="10"/>
      <c r="P34" s="10"/>
      <c r="Q34" s="18"/>
      <c r="R34" s="19"/>
      <c r="S34" s="10"/>
      <c r="T34" s="10"/>
      <c r="U34" s="10"/>
      <c r="V34" s="10"/>
      <c r="W34" s="10"/>
      <c r="X34" s="10"/>
      <c r="Y34" s="10"/>
      <c r="Z34" s="10"/>
      <c r="AA34" s="10"/>
    </row>
    <row r="35" spans="2:27" x14ac:dyDescent="0.25">
      <c r="B35" s="10"/>
      <c r="C35" s="10"/>
      <c r="D35" s="18"/>
      <c r="E35" s="10"/>
      <c r="F35" s="10"/>
      <c r="G35" s="10"/>
      <c r="H35" s="10"/>
      <c r="I35" s="10"/>
      <c r="J35" s="13"/>
      <c r="K35" s="10"/>
      <c r="L35" s="10"/>
      <c r="M35" s="10"/>
      <c r="N35" s="10"/>
      <c r="O35" s="10"/>
      <c r="P35" s="10"/>
      <c r="Q35" s="18"/>
      <c r="R35" s="19"/>
      <c r="S35" s="10"/>
      <c r="T35" s="10"/>
      <c r="U35" s="10"/>
      <c r="V35" s="10"/>
      <c r="W35" s="10"/>
      <c r="X35" s="10"/>
      <c r="Y35" s="10"/>
      <c r="Z35" s="10"/>
      <c r="AA35" s="10"/>
    </row>
    <row r="36" spans="2:27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9"/>
      <c r="S36" s="10"/>
      <c r="T36" s="10"/>
      <c r="U36" s="10"/>
      <c r="V36" s="10"/>
      <c r="W36" s="10"/>
      <c r="X36" s="10"/>
      <c r="Y36" s="10"/>
      <c r="Z36" s="10"/>
      <c r="AA36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49"/>
  <sheetViews>
    <sheetView tabSelected="1" topLeftCell="A6" zoomScale="90" zoomScaleNormal="90" workbookViewId="0">
      <selection activeCell="E12" sqref="E12"/>
    </sheetView>
  </sheetViews>
  <sheetFormatPr defaultColWidth="9.28515625" defaultRowHeight="15" x14ac:dyDescent="0.25"/>
  <cols>
    <col min="1" max="1" width="1.7109375" style="2" customWidth="1"/>
    <col min="2" max="2" width="42.7109375" style="2" customWidth="1"/>
    <col min="3" max="3" width="15" style="2" customWidth="1"/>
    <col min="4" max="4" width="2.5703125" style="2" customWidth="1"/>
    <col min="5" max="5" width="11.7109375" style="2" customWidth="1"/>
    <col min="6" max="6" width="4.28515625" style="2" customWidth="1"/>
    <col min="7" max="9" width="19.28515625" style="2" customWidth="1"/>
    <col min="10" max="10" width="7.42578125" style="2" customWidth="1"/>
    <col min="11" max="11" width="6.7109375" style="2" customWidth="1"/>
    <col min="12" max="12" width="9.28515625" style="2"/>
    <col min="13" max="13" width="15.5703125" style="2" customWidth="1"/>
    <col min="14" max="14" width="2.7109375" style="2" customWidth="1"/>
    <col min="15" max="15" width="11.7109375" style="2" customWidth="1"/>
    <col min="16" max="16" width="2.5703125" style="2" customWidth="1"/>
    <col min="17" max="17" width="3.7109375" style="2" customWidth="1"/>
    <col min="18" max="18" width="11.7109375" style="2" customWidth="1"/>
    <col min="19" max="19" width="2.42578125" style="2" customWidth="1"/>
    <col min="20" max="16384" width="9.28515625" style="2"/>
  </cols>
  <sheetData>
    <row r="1" spans="2:19" ht="8.1" customHeight="1" x14ac:dyDescent="0.25"/>
    <row r="2" spans="2:19" x14ac:dyDescent="0.25">
      <c r="B2" s="3" t="s">
        <v>52</v>
      </c>
      <c r="C2" s="29">
        <f>Participatiewet!E2</f>
        <v>46023</v>
      </c>
      <c r="D2" s="98"/>
    </row>
    <row r="4" spans="2:19" x14ac:dyDescent="0.25">
      <c r="B4" s="65"/>
      <c r="C4" s="66"/>
      <c r="D4" s="66"/>
      <c r="E4" s="92" t="s">
        <v>28</v>
      </c>
      <c r="F4" s="67"/>
      <c r="G4" s="91" t="s">
        <v>46</v>
      </c>
      <c r="H4" s="91" t="s">
        <v>47</v>
      </c>
      <c r="I4" s="91" t="s">
        <v>48</v>
      </c>
      <c r="J4" s="60"/>
      <c r="K4" s="60"/>
      <c r="L4" s="60"/>
      <c r="P4" s="60"/>
      <c r="Q4" s="60"/>
    </row>
    <row r="5" spans="2:19" x14ac:dyDescent="0.25">
      <c r="B5" s="68" t="s">
        <v>166</v>
      </c>
      <c r="C5" s="69"/>
      <c r="D5" s="69"/>
      <c r="E5" s="95">
        <v>932.93</v>
      </c>
      <c r="F5" s="70"/>
      <c r="G5" s="84"/>
      <c r="H5" s="84"/>
      <c r="I5" s="84"/>
      <c r="P5" s="64"/>
      <c r="Q5" s="64"/>
    </row>
    <row r="6" spans="2:19" s="22" customFormat="1" ht="45.75" customHeight="1" x14ac:dyDescent="0.25">
      <c r="B6" s="76"/>
      <c r="C6" s="77"/>
      <c r="D6" s="77"/>
      <c r="E6" s="93"/>
      <c r="F6" s="78"/>
      <c r="G6" s="85" t="s">
        <v>54</v>
      </c>
      <c r="H6" s="85" t="s">
        <v>55</v>
      </c>
      <c r="I6" s="85" t="s">
        <v>55</v>
      </c>
      <c r="P6" s="79"/>
      <c r="Q6" s="79"/>
    </row>
    <row r="7" spans="2:19" s="22" customFormat="1" ht="45.75" customHeight="1" x14ac:dyDescent="0.25">
      <c r="B7" s="80"/>
      <c r="C7" s="81"/>
      <c r="D7" s="81"/>
      <c r="E7" s="93"/>
      <c r="F7" s="78"/>
      <c r="G7" s="86"/>
      <c r="H7" s="85" t="s">
        <v>56</v>
      </c>
      <c r="I7" s="85" t="s">
        <v>56</v>
      </c>
      <c r="P7" s="79"/>
      <c r="Q7" s="79"/>
    </row>
    <row r="8" spans="2:19" ht="15" customHeight="1" x14ac:dyDescent="0.25">
      <c r="B8" s="68" t="s">
        <v>49</v>
      </c>
      <c r="C8" s="69"/>
      <c r="D8" s="69"/>
      <c r="E8" s="96">
        <v>764.14</v>
      </c>
      <c r="F8" s="70"/>
      <c r="G8" s="87"/>
      <c r="H8" s="87"/>
      <c r="I8" s="87"/>
      <c r="K8" s="30"/>
      <c r="L8" s="31"/>
      <c r="M8" s="31"/>
      <c r="N8" s="103"/>
      <c r="O8" s="104"/>
      <c r="P8" s="59"/>
      <c r="Q8" s="59"/>
      <c r="R8" s="31"/>
      <c r="S8" s="121"/>
    </row>
    <row r="9" spans="2:19" ht="15" customHeight="1" x14ac:dyDescent="0.25">
      <c r="B9" s="68" t="s">
        <v>50</v>
      </c>
      <c r="C9" s="69"/>
      <c r="D9" s="69"/>
      <c r="E9" s="97">
        <v>713.02</v>
      </c>
      <c r="F9" s="70"/>
      <c r="G9" s="87"/>
      <c r="H9" s="87"/>
      <c r="I9" s="87"/>
      <c r="K9" s="32"/>
      <c r="L9" s="122" t="s">
        <v>69</v>
      </c>
      <c r="M9" s="35"/>
      <c r="N9" s="35"/>
      <c r="O9" s="105"/>
      <c r="P9" s="57"/>
      <c r="Q9" s="57"/>
      <c r="R9" s="35"/>
      <c r="S9" s="34"/>
    </row>
    <row r="10" spans="2:19" x14ac:dyDescent="0.25">
      <c r="B10" s="72"/>
      <c r="C10" s="73"/>
      <c r="D10" s="73"/>
      <c r="E10" s="94"/>
      <c r="F10" s="70"/>
      <c r="G10" s="88" t="s">
        <v>53</v>
      </c>
      <c r="H10" s="88" t="s">
        <v>53</v>
      </c>
      <c r="I10" s="88" t="s">
        <v>53</v>
      </c>
      <c r="K10" s="32"/>
      <c r="L10" s="105"/>
      <c r="M10" s="105"/>
      <c r="N10" s="105"/>
      <c r="O10" s="125" t="s">
        <v>63</v>
      </c>
      <c r="P10" s="33"/>
      <c r="Q10" s="33"/>
      <c r="R10" s="33" t="s">
        <v>64</v>
      </c>
      <c r="S10" s="34"/>
    </row>
    <row r="11" spans="2:19" x14ac:dyDescent="0.25">
      <c r="B11" s="72" t="s">
        <v>167</v>
      </c>
      <c r="C11" s="69"/>
      <c r="D11" s="69"/>
      <c r="E11" s="95">
        <v>498.2</v>
      </c>
      <c r="F11" s="70"/>
      <c r="G11" s="87"/>
      <c r="H11" s="89"/>
      <c r="I11" s="89"/>
      <c r="K11" s="32"/>
      <c r="L11" s="35"/>
      <c r="M11" s="106" t="s">
        <v>58</v>
      </c>
      <c r="N11" s="106"/>
      <c r="O11" s="123">
        <f>FLOOR(E12,1)</f>
        <v>204</v>
      </c>
      <c r="P11" s="57"/>
      <c r="Q11" s="57"/>
      <c r="R11" s="123">
        <f>E5-E14-E13</f>
        <v>728.58999999999992</v>
      </c>
      <c r="S11" s="34"/>
    </row>
    <row r="12" spans="2:19" ht="17.25" x14ac:dyDescent="0.25">
      <c r="B12" s="72" t="s">
        <v>51</v>
      </c>
      <c r="C12" s="69"/>
      <c r="D12" s="69"/>
      <c r="E12" s="97">
        <f>SUM(E13:E14)</f>
        <v>204.34</v>
      </c>
      <c r="F12" s="75"/>
      <c r="G12" s="88" t="s">
        <v>57</v>
      </c>
      <c r="H12" s="88" t="s">
        <v>57</v>
      </c>
      <c r="I12" s="88" t="s">
        <v>57</v>
      </c>
      <c r="K12" s="32"/>
      <c r="L12" s="35"/>
      <c r="M12" s="106" t="s">
        <v>59</v>
      </c>
      <c r="N12" s="106"/>
      <c r="O12" s="124">
        <f>FLOOR(E16,1)</f>
        <v>202</v>
      </c>
      <c r="P12" s="57"/>
      <c r="Q12" s="57"/>
      <c r="R12" s="124">
        <f>E5-E18-E17</f>
        <v>730.41</v>
      </c>
      <c r="S12" s="34"/>
    </row>
    <row r="13" spans="2:19" x14ac:dyDescent="0.25">
      <c r="B13" s="72" t="s">
        <v>159</v>
      </c>
      <c r="C13" s="69"/>
      <c r="D13" s="69"/>
      <c r="E13" s="97">
        <v>-48.15</v>
      </c>
      <c r="F13" s="70"/>
      <c r="G13" s="84"/>
      <c r="H13" s="84"/>
      <c r="I13" s="84"/>
      <c r="K13" s="32"/>
      <c r="L13" s="35"/>
      <c r="M13" s="106" t="s">
        <v>60</v>
      </c>
      <c r="N13" s="106"/>
      <c r="O13" s="124">
        <f>FLOOR(E20,1)</f>
        <v>200</v>
      </c>
      <c r="P13" s="57"/>
      <c r="Q13" s="57"/>
      <c r="R13" s="124">
        <f>E5-E22-E21</f>
        <v>732.21999999999991</v>
      </c>
      <c r="S13" s="34"/>
    </row>
    <row r="14" spans="2:19" ht="17.25" x14ac:dyDescent="0.25">
      <c r="B14" s="72" t="s">
        <v>161</v>
      </c>
      <c r="C14" s="69"/>
      <c r="D14" s="69"/>
      <c r="E14" s="97">
        <v>252.49</v>
      </c>
      <c r="F14" s="75"/>
      <c r="G14" s="90"/>
      <c r="H14" s="90"/>
      <c r="I14" s="90"/>
      <c r="K14" s="36"/>
      <c r="L14" s="37"/>
      <c r="M14" s="37"/>
      <c r="N14" s="37"/>
      <c r="O14" s="37"/>
      <c r="P14" s="58"/>
      <c r="Q14" s="58"/>
      <c r="R14" s="37"/>
      <c r="S14" s="38"/>
    </row>
    <row r="15" spans="2:19" x14ac:dyDescent="0.25">
      <c r="C15" s="61"/>
      <c r="D15" s="61"/>
      <c r="N15" s="64"/>
      <c r="O15" s="40"/>
      <c r="P15" s="64"/>
      <c r="Q15" s="64"/>
    </row>
    <row r="16" spans="2:19" x14ac:dyDescent="0.25">
      <c r="B16" s="64" t="s">
        <v>162</v>
      </c>
      <c r="C16" s="61"/>
      <c r="D16" s="61"/>
      <c r="E16" s="95">
        <f>SUM(E17:E18)</f>
        <v>202.51999999999998</v>
      </c>
      <c r="I16" s="30"/>
      <c r="J16" s="31"/>
      <c r="K16" s="31"/>
      <c r="L16" s="31"/>
      <c r="M16" s="31"/>
      <c r="N16" s="59"/>
      <c r="O16" s="104"/>
      <c r="P16" s="59"/>
      <c r="Q16" s="59"/>
      <c r="R16" s="31"/>
      <c r="S16" s="121"/>
    </row>
    <row r="17" spans="2:23" x14ac:dyDescent="0.25">
      <c r="B17" s="72" t="s">
        <v>159</v>
      </c>
      <c r="C17" s="69"/>
      <c r="D17" s="69"/>
      <c r="E17" s="97">
        <v>-48.15</v>
      </c>
      <c r="I17" s="32"/>
      <c r="J17" s="35"/>
      <c r="K17" s="35"/>
      <c r="L17" s="135" t="s">
        <v>68</v>
      </c>
      <c r="M17" s="35"/>
      <c r="N17" s="35"/>
      <c r="O17" s="35"/>
      <c r="P17" s="57"/>
      <c r="Q17" s="57"/>
      <c r="R17" s="35"/>
      <c r="S17" s="34"/>
    </row>
    <row r="18" spans="2:23" x14ac:dyDescent="0.25">
      <c r="B18" s="64" t="s">
        <v>164</v>
      </c>
      <c r="C18" s="61"/>
      <c r="D18" s="61"/>
      <c r="E18" s="99">
        <v>250.67</v>
      </c>
      <c r="I18" s="32"/>
      <c r="J18" s="35"/>
      <c r="K18" s="35"/>
      <c r="L18" s="35"/>
      <c r="M18" s="35"/>
      <c r="N18" s="35"/>
      <c r="O18" s="35"/>
      <c r="P18" s="57"/>
      <c r="Q18" s="57"/>
      <c r="R18" s="35"/>
      <c r="S18" s="34"/>
    </row>
    <row r="19" spans="2:23" x14ac:dyDescent="0.25">
      <c r="B19" s="64"/>
      <c r="C19" s="61"/>
      <c r="D19" s="61"/>
      <c r="E19" s="100"/>
      <c r="I19" s="32"/>
      <c r="J19" s="35"/>
      <c r="K19" s="35"/>
      <c r="L19" s="35"/>
      <c r="M19" s="35"/>
      <c r="N19" s="35"/>
      <c r="O19" s="126" t="s">
        <v>168</v>
      </c>
      <c r="P19" s="57"/>
      <c r="Q19" s="136">
        <v>1</v>
      </c>
      <c r="R19" s="123">
        <f>CEILING(((E11-E14-E13)*100)/100,1)</f>
        <v>294</v>
      </c>
      <c r="S19" s="34"/>
    </row>
    <row r="20" spans="2:23" x14ac:dyDescent="0.25">
      <c r="B20" s="64" t="s">
        <v>163</v>
      </c>
      <c r="C20" s="61"/>
      <c r="D20" s="61"/>
      <c r="E20" s="95">
        <f>SUM(E21:E22)</f>
        <v>200.71</v>
      </c>
      <c r="I20" s="32"/>
      <c r="J20" s="35"/>
      <c r="K20" s="35"/>
      <c r="L20" s="35"/>
      <c r="M20" s="35"/>
      <c r="N20" s="35"/>
      <c r="O20" s="126" t="s">
        <v>169</v>
      </c>
      <c r="P20" s="57"/>
      <c r="Q20" s="136">
        <v>2</v>
      </c>
      <c r="R20" s="124">
        <f>CEILING( (((E11-E14-E13)*100)/100) + (((E9-E11)*65)/100) +(((E5-E9)*40)/100),1)</f>
        <v>522</v>
      </c>
      <c r="S20" s="34"/>
    </row>
    <row r="21" spans="2:23" x14ac:dyDescent="0.25">
      <c r="B21" s="72" t="s">
        <v>159</v>
      </c>
      <c r="C21" s="69"/>
      <c r="D21" s="69"/>
      <c r="E21" s="97">
        <f>E17</f>
        <v>-48.15</v>
      </c>
      <c r="I21" s="32"/>
      <c r="J21" s="35"/>
      <c r="K21" s="35"/>
      <c r="L21" s="35"/>
      <c r="M21" s="35"/>
      <c r="N21" s="35"/>
      <c r="O21" s="126" t="s">
        <v>65</v>
      </c>
      <c r="P21" s="35"/>
      <c r="Q21" s="108">
        <v>3</v>
      </c>
      <c r="R21" s="124">
        <f>CEILING( (((E11-E18-E13)*100)/100) + (((E9-E11)*65)/100) +(((E5-E9)*40)/100),1)</f>
        <v>524</v>
      </c>
      <c r="S21" s="34"/>
    </row>
    <row r="22" spans="2:23" x14ac:dyDescent="0.25">
      <c r="B22" s="64" t="s">
        <v>165</v>
      </c>
      <c r="C22" s="61"/>
      <c r="D22" s="61"/>
      <c r="E22" s="97">
        <v>248.86</v>
      </c>
      <c r="F22" s="73"/>
      <c r="I22" s="32"/>
      <c r="J22" s="35"/>
      <c r="K22" s="35"/>
      <c r="L22" s="35"/>
      <c r="M22" s="35"/>
      <c r="N22" s="35"/>
      <c r="O22" s="126" t="s">
        <v>170</v>
      </c>
      <c r="P22" s="35"/>
      <c r="Q22" s="108">
        <v>4</v>
      </c>
      <c r="R22" s="123">
        <f>CEILING( (((E11-E14-E13)*100)/100) + (((E9-E11)*65)/100),1)</f>
        <v>434</v>
      </c>
      <c r="S22" s="34"/>
    </row>
    <row r="23" spans="2:23" x14ac:dyDescent="0.25">
      <c r="B23" s="64"/>
      <c r="I23" s="32"/>
      <c r="J23" s="35"/>
      <c r="K23" s="35"/>
      <c r="L23" s="35"/>
      <c r="M23" s="35"/>
      <c r="N23" s="35"/>
      <c r="O23" s="126" t="s">
        <v>171</v>
      </c>
      <c r="P23" s="35"/>
      <c r="Q23" s="108">
        <v>5</v>
      </c>
      <c r="R23" s="124">
        <f>CEILING( (((E11-E14-E13)*100)/100) + (((E9-E11)*65)/100) +(((E5-E9)*40)/100),1)</f>
        <v>522</v>
      </c>
      <c r="S23" s="34"/>
    </row>
    <row r="24" spans="2:23" x14ac:dyDescent="0.25">
      <c r="B24" s="64"/>
      <c r="C24" s="10"/>
      <c r="D24" s="10"/>
      <c r="E24" s="10"/>
      <c r="F24" s="10"/>
      <c r="I24" s="32"/>
      <c r="J24" s="35"/>
      <c r="K24" s="35"/>
      <c r="L24" s="35"/>
      <c r="M24" s="35"/>
      <c r="N24" s="35"/>
      <c r="O24" s="126" t="s">
        <v>66</v>
      </c>
      <c r="P24" s="35"/>
      <c r="Q24" s="108">
        <v>6</v>
      </c>
      <c r="R24" s="124">
        <f>CEILING( (((E11-E22-E13)*100)/100) + (((E9-E11)*65)/100) +(((E5-E9)*40)/100),1)</f>
        <v>526</v>
      </c>
      <c r="S24" s="34"/>
    </row>
    <row r="25" spans="2:23" x14ac:dyDescent="0.25">
      <c r="B25" s="64"/>
      <c r="C25" s="10"/>
      <c r="D25" s="10"/>
      <c r="E25" s="61"/>
      <c r="F25" s="73"/>
      <c r="I25" s="32"/>
      <c r="J25" s="35"/>
      <c r="K25" s="35"/>
      <c r="L25" s="35"/>
      <c r="M25" s="35"/>
      <c r="N25" s="35"/>
      <c r="O25" s="126" t="s">
        <v>172</v>
      </c>
      <c r="P25" s="35"/>
      <c r="Q25" s="108">
        <v>7</v>
      </c>
      <c r="R25" s="123">
        <f>CEILING( ((( E11-E14-E13)*100)/100) + (((E8-E11)*65)/100),1)</f>
        <v>467</v>
      </c>
      <c r="S25" s="34"/>
    </row>
    <row r="26" spans="2:23" x14ac:dyDescent="0.25">
      <c r="B26" s="64"/>
      <c r="C26" s="11"/>
      <c r="D26" s="11"/>
      <c r="E26" s="10"/>
      <c r="F26" s="10"/>
      <c r="I26" s="32"/>
      <c r="J26" s="35"/>
      <c r="K26" s="35"/>
      <c r="L26" s="35"/>
      <c r="M26" s="35"/>
      <c r="N26" s="35"/>
      <c r="O26" s="126" t="s">
        <v>173</v>
      </c>
      <c r="P26" s="35"/>
      <c r="Q26" s="108">
        <v>8</v>
      </c>
      <c r="R26" s="124">
        <f>CEILING( ((( E11-E14-E13)*100)/100) + (((E8-E11)*65)/100) + (((E5-E8)*40)/100),1)</f>
        <v>535</v>
      </c>
      <c r="S26" s="34"/>
    </row>
    <row r="27" spans="2:23" x14ac:dyDescent="0.25">
      <c r="B27" s="64"/>
      <c r="C27" s="11"/>
      <c r="D27" s="11"/>
      <c r="E27" s="10"/>
      <c r="F27" s="10"/>
      <c r="I27" s="32"/>
      <c r="J27" s="35"/>
      <c r="K27" s="35"/>
      <c r="L27" s="35"/>
      <c r="M27" s="35"/>
      <c r="N27" s="35"/>
      <c r="O27" s="126" t="s">
        <v>67</v>
      </c>
      <c r="P27" s="35"/>
      <c r="Q27" s="108">
        <v>9</v>
      </c>
      <c r="R27" s="124">
        <f>CEILING( ((( E11-E22-E13)*100)/100) + (((E8-E11)*65)/100) + (((E5-E8)*40)/100),1)</f>
        <v>538</v>
      </c>
      <c r="S27" s="34"/>
    </row>
    <row r="28" spans="2:23" x14ac:dyDescent="0.25">
      <c r="B28" s="64"/>
      <c r="C28" s="11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8"/>
    </row>
    <row r="29" spans="2:23" x14ac:dyDescent="0.25">
      <c r="B29" s="10"/>
      <c r="C29" s="61"/>
      <c r="D29" s="61"/>
      <c r="E29" s="127"/>
      <c r="F29" s="73"/>
      <c r="G29" s="73"/>
      <c r="H29" s="128"/>
      <c r="I29" s="127"/>
      <c r="J29" s="127"/>
      <c r="K29" s="127"/>
      <c r="L29" s="127"/>
      <c r="M29" s="127"/>
      <c r="N29" s="127"/>
      <c r="O29" s="127"/>
      <c r="P29" s="72"/>
      <c r="Q29" s="72"/>
      <c r="R29" s="72"/>
      <c r="S29" s="72"/>
      <c r="T29" s="72"/>
      <c r="U29" s="10"/>
      <c r="V29" s="10"/>
      <c r="W29" s="10"/>
    </row>
    <row r="30" spans="2:23" x14ac:dyDescent="0.25">
      <c r="B30" s="10"/>
      <c r="C30" s="61"/>
      <c r="D30" s="61"/>
      <c r="E30" s="83"/>
      <c r="F30" s="73"/>
      <c r="G30" s="74"/>
      <c r="H30" s="129"/>
      <c r="I30" s="77"/>
      <c r="J30" s="77"/>
      <c r="K30" s="77"/>
      <c r="L30" s="77"/>
      <c r="M30" s="77"/>
      <c r="N30" s="127"/>
      <c r="O30" s="127"/>
      <c r="P30" s="72"/>
      <c r="Q30" s="72"/>
      <c r="R30" s="130"/>
      <c r="S30" s="72"/>
      <c r="T30" s="72"/>
      <c r="U30" s="10"/>
      <c r="V30" s="10"/>
      <c r="W30" s="10"/>
    </row>
    <row r="31" spans="2:23" ht="17.25" x14ac:dyDescent="0.25">
      <c r="B31" s="10"/>
      <c r="C31" s="75"/>
      <c r="D31" s="61"/>
      <c r="E31" s="83"/>
      <c r="F31" s="73"/>
      <c r="G31" s="74"/>
      <c r="H31" s="129"/>
      <c r="I31" s="77"/>
      <c r="J31" s="77"/>
      <c r="K31" s="77"/>
      <c r="L31" s="77"/>
      <c r="M31" s="77"/>
      <c r="N31" s="127"/>
      <c r="O31" s="127"/>
      <c r="P31" s="131"/>
      <c r="Q31" s="131"/>
      <c r="R31" s="132"/>
      <c r="S31" s="133"/>
      <c r="T31" s="131"/>
      <c r="U31" s="10"/>
      <c r="V31" s="10"/>
      <c r="W31" s="10"/>
    </row>
    <row r="32" spans="2:23" ht="17.25" x14ac:dyDescent="0.25">
      <c r="B32" s="10"/>
      <c r="C32" s="75"/>
      <c r="D32" s="61"/>
      <c r="E32" s="68"/>
      <c r="F32" s="69"/>
      <c r="G32" s="70"/>
      <c r="H32" s="129"/>
      <c r="I32" s="82"/>
      <c r="J32" s="82"/>
      <c r="K32" s="82"/>
      <c r="L32" s="82"/>
      <c r="M32" s="82"/>
      <c r="N32" s="127"/>
      <c r="O32" s="127"/>
      <c r="P32" s="127"/>
      <c r="Q32" s="127"/>
      <c r="R32" s="127"/>
      <c r="S32" s="127"/>
      <c r="T32" s="127"/>
      <c r="U32" s="10"/>
      <c r="V32" s="10"/>
      <c r="W32" s="10"/>
    </row>
    <row r="33" spans="2:23" x14ac:dyDescent="0.25">
      <c r="B33" s="10"/>
      <c r="C33" s="61"/>
      <c r="D33" s="61"/>
      <c r="E33" s="68"/>
      <c r="F33" s="69"/>
      <c r="G33" s="70"/>
      <c r="H33" s="129"/>
      <c r="I33" s="127"/>
      <c r="J33" s="127"/>
      <c r="K33" s="127"/>
      <c r="L33" s="127"/>
      <c r="M33" s="127"/>
      <c r="N33" s="127"/>
      <c r="O33" s="127"/>
      <c r="P33" s="131"/>
      <c r="Q33" s="131"/>
      <c r="R33" s="132"/>
      <c r="S33" s="10"/>
      <c r="T33" s="134"/>
      <c r="U33" s="10"/>
      <c r="V33" s="10"/>
      <c r="W33" s="10"/>
    </row>
    <row r="34" spans="2:23" x14ac:dyDescent="0.25">
      <c r="B34" s="10"/>
      <c r="C34" s="10"/>
      <c r="D34" s="61"/>
      <c r="E34" s="68"/>
      <c r="F34" s="69"/>
      <c r="G34" s="70"/>
      <c r="H34" s="129"/>
      <c r="I34" s="127"/>
      <c r="J34" s="127"/>
      <c r="K34" s="82"/>
      <c r="L34" s="127"/>
      <c r="M34" s="127"/>
      <c r="N34" s="127"/>
      <c r="O34" s="127"/>
      <c r="P34" s="131"/>
      <c r="Q34" s="131"/>
      <c r="R34" s="132"/>
      <c r="S34" s="10"/>
      <c r="T34" s="134"/>
      <c r="U34" s="10"/>
      <c r="V34" s="10"/>
      <c r="W34" s="10"/>
    </row>
    <row r="35" spans="2:23" x14ac:dyDescent="0.25">
      <c r="D35" s="61"/>
      <c r="E35" s="68"/>
      <c r="F35" s="69"/>
      <c r="G35" s="70"/>
      <c r="H35" s="129"/>
      <c r="I35" s="82"/>
      <c r="J35" s="82"/>
      <c r="K35" s="127"/>
      <c r="L35" s="82"/>
      <c r="M35" s="82"/>
      <c r="N35" s="127"/>
      <c r="O35" s="127"/>
      <c r="P35" s="72"/>
      <c r="Q35" s="72"/>
      <c r="R35" s="62"/>
      <c r="S35" s="10"/>
      <c r="T35" s="134"/>
      <c r="U35" s="10"/>
      <c r="V35" s="10"/>
      <c r="W35" s="10"/>
    </row>
    <row r="36" spans="2:23" x14ac:dyDescent="0.25">
      <c r="D36" s="61"/>
      <c r="E36" s="68"/>
      <c r="F36" s="69"/>
      <c r="G36" s="70"/>
      <c r="H36" s="129"/>
      <c r="I36" s="82"/>
      <c r="J36" s="82"/>
      <c r="K36" s="127"/>
      <c r="L36" s="82"/>
      <c r="M36" s="82"/>
      <c r="N36" s="127"/>
      <c r="O36" s="127"/>
      <c r="P36" s="72"/>
      <c r="Q36" s="72"/>
      <c r="R36" s="62"/>
      <c r="S36" s="10"/>
      <c r="T36" s="134"/>
      <c r="U36" s="10"/>
      <c r="V36" s="10"/>
      <c r="W36" s="10"/>
    </row>
    <row r="37" spans="2:23" x14ac:dyDescent="0.25">
      <c r="D37" s="61"/>
      <c r="E37" s="68"/>
      <c r="F37" s="69"/>
      <c r="G37" s="70"/>
      <c r="H37" s="129"/>
      <c r="I37" s="82"/>
      <c r="J37" s="82"/>
      <c r="K37" s="127"/>
      <c r="L37" s="82"/>
      <c r="M37" s="82"/>
      <c r="N37" s="127"/>
      <c r="O37" s="127"/>
      <c r="P37" s="72"/>
      <c r="Q37" s="72"/>
      <c r="R37" s="62"/>
      <c r="S37" s="10"/>
      <c r="T37" s="134"/>
      <c r="U37" s="10"/>
      <c r="V37" s="10"/>
      <c r="W37" s="10"/>
    </row>
    <row r="38" spans="2:23" x14ac:dyDescent="0.25">
      <c r="D38" s="61"/>
      <c r="E38" s="68"/>
      <c r="F38" s="69"/>
      <c r="G38" s="70"/>
      <c r="H38" s="129"/>
      <c r="I38" s="127"/>
      <c r="J38" s="127"/>
      <c r="K38" s="127"/>
      <c r="L38" s="127"/>
      <c r="M38" s="127"/>
      <c r="N38" s="127"/>
      <c r="O38" s="127"/>
      <c r="P38" s="72"/>
      <c r="Q38" s="72"/>
      <c r="R38" s="62"/>
      <c r="S38" s="10"/>
      <c r="T38" s="134"/>
      <c r="U38" s="10"/>
      <c r="V38" s="10"/>
      <c r="W38" s="10"/>
    </row>
    <row r="39" spans="2:23" x14ac:dyDescent="0.25">
      <c r="D39" s="61"/>
      <c r="E39" s="68"/>
      <c r="F39" s="69"/>
      <c r="G39" s="70"/>
      <c r="H39" s="129"/>
      <c r="I39" s="127"/>
      <c r="J39" s="127"/>
      <c r="K39" s="127"/>
      <c r="L39" s="127"/>
      <c r="M39" s="127"/>
      <c r="N39" s="127"/>
      <c r="O39" s="127"/>
      <c r="P39" s="72"/>
      <c r="Q39" s="72"/>
      <c r="R39" s="62"/>
      <c r="S39" s="10"/>
      <c r="T39" s="134"/>
      <c r="U39" s="10"/>
      <c r="V39" s="10"/>
      <c r="W39" s="10"/>
    </row>
    <row r="40" spans="2:23" x14ac:dyDescent="0.25">
      <c r="D40" s="61"/>
      <c r="E40" s="68"/>
      <c r="F40" s="69"/>
      <c r="G40" s="70"/>
      <c r="H40" s="129"/>
      <c r="I40" s="71"/>
      <c r="J40" s="71"/>
      <c r="K40" s="127"/>
      <c r="L40" s="127"/>
      <c r="M40" s="127"/>
      <c r="N40" s="127"/>
      <c r="O40" s="127"/>
      <c r="P40" s="72"/>
      <c r="Q40" s="72"/>
      <c r="R40" s="62"/>
      <c r="S40" s="10"/>
      <c r="T40" s="134"/>
      <c r="U40" s="10"/>
      <c r="V40" s="10"/>
      <c r="W40" s="10"/>
    </row>
    <row r="41" spans="2:23" x14ac:dyDescent="0.25">
      <c r="D41" s="61"/>
      <c r="E41" s="68"/>
      <c r="F41" s="73"/>
      <c r="G41" s="74"/>
      <c r="H41" s="128"/>
      <c r="I41" s="127"/>
      <c r="J41" s="127"/>
      <c r="K41" s="127"/>
      <c r="L41" s="127"/>
      <c r="M41" s="127"/>
      <c r="N41" s="127"/>
      <c r="O41" s="127"/>
      <c r="P41" s="72"/>
      <c r="Q41" s="72"/>
      <c r="R41" s="62"/>
      <c r="S41" s="10"/>
      <c r="T41" s="134"/>
      <c r="U41" s="10"/>
      <c r="V41" s="10"/>
      <c r="W41" s="10"/>
    </row>
    <row r="42" spans="2:23" x14ac:dyDescent="0.25">
      <c r="D42" s="61"/>
      <c r="E42" s="83"/>
      <c r="F42" s="73"/>
      <c r="G42" s="74"/>
      <c r="H42" s="128"/>
      <c r="I42" s="127"/>
      <c r="J42" s="127"/>
      <c r="K42" s="127"/>
      <c r="L42" s="127"/>
      <c r="M42" s="127"/>
      <c r="N42" s="127"/>
      <c r="O42" s="127"/>
      <c r="P42" s="72"/>
      <c r="Q42" s="72"/>
      <c r="R42" s="72"/>
      <c r="S42" s="72"/>
      <c r="T42" s="72"/>
      <c r="U42" s="10"/>
      <c r="V42" s="10"/>
      <c r="W42" s="10"/>
    </row>
    <row r="43" spans="2:23" x14ac:dyDescent="0.25">
      <c r="D43" s="61"/>
      <c r="E43" s="68"/>
      <c r="F43" s="69"/>
      <c r="G43" s="101"/>
      <c r="H43" s="128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0"/>
      <c r="V43" s="10"/>
      <c r="W43" s="10"/>
    </row>
    <row r="44" spans="2:23" x14ac:dyDescent="0.25">
      <c r="D44" s="61"/>
      <c r="E44" s="68"/>
      <c r="F44" s="69"/>
      <c r="G44" s="101"/>
      <c r="H44" s="128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0"/>
      <c r="V44" s="10"/>
      <c r="W44" s="10"/>
    </row>
    <row r="45" spans="2:23" x14ac:dyDescent="0.25">
      <c r="D45" s="61"/>
      <c r="E45" s="68"/>
      <c r="F45" s="69"/>
      <c r="G45" s="101"/>
      <c r="H45" s="128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0"/>
      <c r="V45" s="10"/>
      <c r="W45" s="10"/>
    </row>
    <row r="46" spans="2:23" x14ac:dyDescent="0.25">
      <c r="D46" s="61"/>
      <c r="E46" s="68"/>
      <c r="F46" s="69"/>
      <c r="G46" s="101"/>
      <c r="H46" s="128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0"/>
      <c r="V46" s="10"/>
      <c r="W46" s="10"/>
    </row>
    <row r="47" spans="2:23" x14ac:dyDescent="0.25">
      <c r="D47" s="61"/>
      <c r="E47" s="72"/>
      <c r="F47" s="73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0"/>
      <c r="V47" s="10"/>
      <c r="W47" s="10"/>
    </row>
    <row r="48" spans="2:23" x14ac:dyDescent="0.25"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4:23" x14ac:dyDescent="0.25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pageMargins left="0.7" right="0.7" top="0.75" bottom="0.75" header="0.3" footer="0.3"/>
  <pageSetup paperSize="8" scale="77" orientation="landscape" r:id="rId1"/>
  <ignoredErrors>
    <ignoredError sqref="C2 E21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29"/>
  <sheetViews>
    <sheetView topLeftCell="A14" zoomScaleNormal="100" workbookViewId="0">
      <selection activeCell="I8" sqref="I8"/>
    </sheetView>
  </sheetViews>
  <sheetFormatPr defaultColWidth="9.28515625" defaultRowHeight="15" x14ac:dyDescent="0.25"/>
  <cols>
    <col min="1" max="1" width="1.7109375" style="2" customWidth="1"/>
    <col min="2" max="2" width="3.7109375" style="2" customWidth="1"/>
    <col min="3" max="3" width="17.85546875" style="2" customWidth="1"/>
    <col min="4" max="4" width="19.28515625" style="2" customWidth="1"/>
    <col min="5" max="5" width="1.7109375" style="2" customWidth="1"/>
    <col min="6" max="6" width="10.7109375" style="2" customWidth="1"/>
    <col min="7" max="7" width="12.42578125" style="2" customWidth="1"/>
    <col min="8" max="8" width="12.28515625" style="2" customWidth="1"/>
    <col min="9" max="9" width="11.7109375" style="2" customWidth="1"/>
    <col min="10" max="10" width="13.28515625" style="2" customWidth="1"/>
    <col min="11" max="11" width="10.7109375" style="2" customWidth="1"/>
    <col min="12" max="12" width="11.28515625" style="2" customWidth="1"/>
    <col min="13" max="13" width="4" style="2" customWidth="1"/>
    <col min="14" max="14" width="1.42578125" style="2" customWidth="1"/>
    <col min="15" max="16" width="9.28515625" style="2"/>
    <col min="17" max="17" width="1.7109375" style="2" customWidth="1"/>
    <col min="18" max="18" width="3.28515625" style="2" customWidth="1"/>
    <col min="19" max="19" width="4.42578125" style="2" customWidth="1"/>
    <col min="20" max="20" width="11.7109375" style="2" customWidth="1"/>
    <col min="21" max="21" width="4.5703125" style="2" customWidth="1"/>
    <col min="22" max="22" width="9.28515625" style="2"/>
    <col min="23" max="23" width="3.28515625" style="2" customWidth="1"/>
    <col min="24" max="24" width="8.7109375" style="2" customWidth="1"/>
    <col min="25" max="25" width="6.7109375" style="2" customWidth="1"/>
    <col min="26" max="26" width="10.7109375" style="2" customWidth="1"/>
    <col min="27" max="27" width="3.42578125" style="2" customWidth="1"/>
    <col min="28" max="16384" width="9.28515625" style="2"/>
  </cols>
  <sheetData>
    <row r="1" spans="1:29" ht="8.1" customHeight="1" x14ac:dyDescent="0.25"/>
    <row r="2" spans="1:29" x14ac:dyDescent="0.25">
      <c r="A2" s="3"/>
      <c r="B2" s="3" t="s">
        <v>89</v>
      </c>
      <c r="D2" s="23"/>
      <c r="G2" s="199">
        <v>2026</v>
      </c>
    </row>
    <row r="3" spans="1:29" x14ac:dyDescent="0.25">
      <c r="A3" s="127"/>
      <c r="B3" s="61"/>
      <c r="C3" s="72"/>
      <c r="D3" s="73"/>
      <c r="E3" s="127"/>
      <c r="F3" s="127"/>
      <c r="G3" s="127"/>
      <c r="H3" s="127"/>
      <c r="I3" s="137"/>
      <c r="J3" s="137"/>
      <c r="K3" s="138"/>
      <c r="L3" s="127"/>
      <c r="M3" s="127"/>
      <c r="N3" s="145"/>
      <c r="O3" s="146"/>
      <c r="P3" s="146"/>
      <c r="Q3" s="147"/>
      <c r="R3" s="127"/>
      <c r="S3" s="127"/>
      <c r="T3" s="127"/>
      <c r="U3" s="127"/>
      <c r="AB3" s="127"/>
      <c r="AC3" s="10"/>
    </row>
    <row r="4" spans="1:29" ht="62.25" customHeight="1" x14ac:dyDescent="0.25">
      <c r="A4" s="127"/>
      <c r="B4" s="61"/>
      <c r="C4" s="230" t="s">
        <v>129</v>
      </c>
      <c r="D4" s="223" t="s">
        <v>70</v>
      </c>
      <c r="E4" s="139"/>
      <c r="F4" s="140" t="s">
        <v>71</v>
      </c>
      <c r="G4" s="140" t="s">
        <v>72</v>
      </c>
      <c r="H4" s="140" t="s">
        <v>73</v>
      </c>
      <c r="I4" s="140" t="s">
        <v>74</v>
      </c>
      <c r="J4" s="140" t="s">
        <v>75</v>
      </c>
      <c r="K4" s="140" t="s">
        <v>76</v>
      </c>
      <c r="L4" s="225" t="s">
        <v>128</v>
      </c>
      <c r="M4" s="141"/>
      <c r="N4" s="148"/>
      <c r="O4" s="149" t="s">
        <v>77</v>
      </c>
      <c r="P4" s="149" t="s">
        <v>78</v>
      </c>
      <c r="Q4" s="152"/>
      <c r="R4" s="127"/>
      <c r="S4" s="127"/>
      <c r="T4" s="127"/>
      <c r="V4" s="127"/>
      <c r="W4" s="127"/>
      <c r="X4" s="127"/>
      <c r="Y4" s="127"/>
      <c r="Z4" s="127"/>
      <c r="AB4" s="127"/>
      <c r="AC4" s="10"/>
    </row>
    <row r="5" spans="1:29" x14ac:dyDescent="0.25">
      <c r="A5" s="127"/>
      <c r="B5" s="61"/>
      <c r="C5" s="142"/>
      <c r="D5" s="142"/>
      <c r="E5" s="82"/>
      <c r="F5" s="76"/>
      <c r="G5" s="76"/>
      <c r="H5" s="76"/>
      <c r="I5" s="76"/>
      <c r="J5" s="76"/>
      <c r="K5" s="76"/>
      <c r="L5" s="79"/>
      <c r="M5" s="127"/>
      <c r="N5" s="150"/>
      <c r="O5" s="231" t="s">
        <v>82</v>
      </c>
      <c r="P5" s="149"/>
      <c r="Q5" s="152"/>
      <c r="R5" s="127"/>
      <c r="S5" s="127"/>
      <c r="T5" s="127"/>
      <c r="AB5" s="127"/>
      <c r="AC5" s="10"/>
    </row>
    <row r="6" spans="1:29" ht="15" customHeight="1" x14ac:dyDescent="0.25">
      <c r="A6" s="127"/>
      <c r="B6" s="61"/>
      <c r="C6" s="127"/>
      <c r="D6" s="63" t="s">
        <v>79</v>
      </c>
      <c r="E6" s="127"/>
      <c r="F6" s="165">
        <v>46023</v>
      </c>
      <c r="G6" s="73" t="s">
        <v>80</v>
      </c>
      <c r="H6" s="167">
        <v>46234</v>
      </c>
      <c r="I6" s="127"/>
      <c r="J6" s="127"/>
      <c r="K6" s="127"/>
      <c r="L6" s="229"/>
      <c r="M6" s="127"/>
      <c r="N6" s="150"/>
      <c r="O6" s="151"/>
      <c r="P6" s="151"/>
      <c r="Q6" s="152"/>
      <c r="R6" s="127"/>
      <c r="AB6" s="127"/>
      <c r="AC6" s="10"/>
    </row>
    <row r="7" spans="1:29" ht="15" customHeight="1" x14ac:dyDescent="0.25">
      <c r="A7" s="127"/>
      <c r="B7" s="61"/>
      <c r="C7" s="66"/>
      <c r="D7" s="70" t="s">
        <v>83</v>
      </c>
      <c r="E7" s="143"/>
      <c r="F7" s="166">
        <v>324.52</v>
      </c>
      <c r="G7" s="166">
        <v>491.08</v>
      </c>
      <c r="H7" s="166">
        <v>315.17</v>
      </c>
      <c r="I7" s="166">
        <f>SUM(F7:H7)</f>
        <v>1130.77</v>
      </c>
      <c r="J7" s="166">
        <f>CEILING(P7+((((I7-O7)/O7)*100)*P7/100),1)</f>
        <v>80</v>
      </c>
      <c r="K7" s="166">
        <f>I7-J7</f>
        <v>1050.77</v>
      </c>
      <c r="L7" s="166">
        <v>216.75</v>
      </c>
      <c r="M7" s="127"/>
      <c r="N7" s="150"/>
      <c r="O7" s="153">
        <v>763.09</v>
      </c>
      <c r="P7" s="153">
        <v>53.32</v>
      </c>
      <c r="Q7" s="152"/>
      <c r="R7" s="127"/>
      <c r="AB7" s="127"/>
      <c r="AC7" s="10"/>
    </row>
    <row r="8" spans="1:29" ht="15" customHeight="1" x14ac:dyDescent="0.25">
      <c r="A8" s="127"/>
      <c r="B8" s="61"/>
      <c r="C8" s="66"/>
      <c r="D8" s="70" t="s">
        <v>84</v>
      </c>
      <c r="E8" s="143"/>
      <c r="F8" s="166">
        <v>130.21</v>
      </c>
      <c r="G8" s="166">
        <v>491.08</v>
      </c>
      <c r="H8" s="166">
        <v>315.17</v>
      </c>
      <c r="I8" s="166">
        <f>SUM(F8:H8)</f>
        <v>936.46</v>
      </c>
      <c r="J8" s="166">
        <f>J7</f>
        <v>80</v>
      </c>
      <c r="K8" s="166">
        <f>I8-J8</f>
        <v>856.46</v>
      </c>
      <c r="L8" s="166">
        <v>216.75</v>
      </c>
      <c r="M8" s="127"/>
      <c r="N8" s="150"/>
      <c r="O8" s="153"/>
      <c r="P8" s="153"/>
      <c r="Q8" s="152"/>
      <c r="R8" s="127"/>
      <c r="AB8" s="127"/>
      <c r="AC8" s="10"/>
    </row>
    <row r="9" spans="1:29" x14ac:dyDescent="0.25">
      <c r="A9" s="127"/>
      <c r="B9" s="61"/>
      <c r="C9" s="66"/>
      <c r="D9" s="137"/>
      <c r="E9" s="127"/>
      <c r="F9" s="127"/>
      <c r="G9" s="127"/>
      <c r="H9" s="127"/>
      <c r="I9" s="127"/>
      <c r="J9" s="226"/>
      <c r="K9" s="127"/>
      <c r="L9" s="221"/>
      <c r="M9" s="127"/>
      <c r="N9" s="150"/>
      <c r="O9" s="153"/>
      <c r="P9" s="153"/>
      <c r="Q9" s="152"/>
      <c r="R9" s="127"/>
      <c r="AB9" s="127"/>
      <c r="AC9" s="10"/>
    </row>
    <row r="10" spans="1:29" s="21" customFormat="1" x14ac:dyDescent="0.25">
      <c r="A10" s="212"/>
      <c r="B10" s="209"/>
      <c r="C10" s="210"/>
      <c r="D10" s="63" t="s">
        <v>79</v>
      </c>
      <c r="E10" s="127"/>
      <c r="F10" s="167">
        <v>46235</v>
      </c>
      <c r="G10" s="73" t="s">
        <v>80</v>
      </c>
      <c r="H10" s="167">
        <v>46387</v>
      </c>
      <c r="I10" s="127"/>
      <c r="J10" s="227"/>
      <c r="K10" s="127"/>
      <c r="L10" s="222"/>
      <c r="M10" s="212"/>
      <c r="N10" s="214"/>
      <c r="O10" s="211"/>
      <c r="P10" s="211"/>
      <c r="Q10" s="215"/>
      <c r="R10" s="212"/>
      <c r="AB10" s="212"/>
      <c r="AC10" s="216"/>
    </row>
    <row r="11" spans="1:29" ht="15" customHeight="1" x14ac:dyDescent="0.25">
      <c r="A11" s="127"/>
      <c r="B11" s="61"/>
      <c r="C11" s="66"/>
      <c r="D11" s="70" t="s">
        <v>83</v>
      </c>
      <c r="E11" s="143"/>
      <c r="F11" s="166">
        <v>324.52</v>
      </c>
      <c r="G11" s="166">
        <v>491.08</v>
      </c>
      <c r="H11" s="166">
        <v>315.17</v>
      </c>
      <c r="I11" s="166">
        <f>SUM(F11:H11)</f>
        <v>1130.77</v>
      </c>
      <c r="J11" s="166">
        <f>CEILING(P11+((((I11-O11)/O11)*100)*P11/100),1)</f>
        <v>80</v>
      </c>
      <c r="K11" s="166">
        <f>I11-J11</f>
        <v>1050.77</v>
      </c>
      <c r="L11" s="166">
        <v>224.5</v>
      </c>
      <c r="M11" s="127"/>
      <c r="N11" s="150"/>
      <c r="O11" s="153">
        <v>763.09</v>
      </c>
      <c r="P11" s="153">
        <v>53.32</v>
      </c>
      <c r="Q11" s="152"/>
      <c r="R11" s="127"/>
      <c r="AB11" s="127"/>
      <c r="AC11" s="10"/>
    </row>
    <row r="12" spans="1:29" ht="15" customHeight="1" x14ac:dyDescent="0.25">
      <c r="A12" s="127"/>
      <c r="B12" s="61"/>
      <c r="C12" s="66"/>
      <c r="D12" s="70" t="s">
        <v>84</v>
      </c>
      <c r="E12" s="143"/>
      <c r="F12" s="166">
        <v>130.21</v>
      </c>
      <c r="G12" s="166">
        <v>491.08</v>
      </c>
      <c r="H12" s="166">
        <v>315.17</v>
      </c>
      <c r="I12" s="166">
        <f>SUM(F12:H12)</f>
        <v>936.46</v>
      </c>
      <c r="J12" s="166">
        <f>J11</f>
        <v>80</v>
      </c>
      <c r="K12" s="166">
        <f>I12-J12</f>
        <v>856.46</v>
      </c>
      <c r="L12" s="166">
        <v>224.5</v>
      </c>
      <c r="M12" s="127"/>
      <c r="N12" s="150"/>
      <c r="O12" s="153"/>
      <c r="P12" s="153"/>
      <c r="Q12" s="152"/>
      <c r="R12" s="127"/>
      <c r="AB12" s="127"/>
      <c r="AC12" s="10"/>
    </row>
    <row r="13" spans="1:29" ht="15" customHeight="1" x14ac:dyDescent="0.25">
      <c r="A13" s="127"/>
      <c r="B13" s="61"/>
      <c r="C13" s="66"/>
      <c r="I13" s="127"/>
      <c r="J13" s="127"/>
      <c r="K13" s="127"/>
      <c r="L13" s="79"/>
      <c r="M13" s="127"/>
      <c r="N13" s="150"/>
      <c r="O13" s="151"/>
      <c r="P13" s="151"/>
      <c r="Q13" s="152"/>
      <c r="R13" s="127"/>
      <c r="AB13" s="127"/>
      <c r="AC13" s="10"/>
    </row>
    <row r="14" spans="1:29" ht="15" customHeight="1" x14ac:dyDescent="0.25">
      <c r="A14" s="127"/>
      <c r="B14" s="61"/>
      <c r="C14" s="83" t="s">
        <v>85</v>
      </c>
      <c r="D14" s="70"/>
      <c r="E14" s="143"/>
      <c r="F14" s="228"/>
      <c r="G14" s="228"/>
      <c r="H14" s="228"/>
      <c r="I14" s="228"/>
      <c r="J14" s="228"/>
      <c r="K14" s="228"/>
      <c r="L14" s="228"/>
      <c r="M14" s="127"/>
      <c r="N14" s="150"/>
      <c r="O14" s="153"/>
      <c r="P14" s="153"/>
      <c r="Q14" s="152"/>
      <c r="R14" s="127"/>
      <c r="AB14" s="127"/>
      <c r="AC14" s="10"/>
    </row>
    <row r="15" spans="1:29" ht="15" customHeight="1" x14ac:dyDescent="0.25">
      <c r="A15" s="127"/>
      <c r="B15" s="209"/>
      <c r="C15" s="210"/>
      <c r="D15" s="78"/>
      <c r="E15" s="213"/>
      <c r="F15" s="227"/>
      <c r="G15" s="227"/>
      <c r="H15" s="227"/>
      <c r="I15" s="227"/>
      <c r="J15" s="227"/>
      <c r="K15" s="227"/>
      <c r="L15" s="227"/>
      <c r="M15" s="127"/>
      <c r="N15" s="150"/>
      <c r="O15" s="151"/>
      <c r="P15" s="151"/>
      <c r="Q15" s="152"/>
      <c r="R15" s="127"/>
      <c r="AB15" s="127"/>
      <c r="AC15" s="10"/>
    </row>
    <row r="16" spans="1:29" ht="50.1" customHeight="1" x14ac:dyDescent="0.25">
      <c r="A16" s="127"/>
      <c r="D16" s="223" t="s">
        <v>70</v>
      </c>
      <c r="E16" s="139"/>
      <c r="F16" s="140" t="s">
        <v>71</v>
      </c>
      <c r="G16" s="140" t="s">
        <v>72</v>
      </c>
      <c r="H16" s="140" t="s">
        <v>73</v>
      </c>
      <c r="I16" s="140" t="s">
        <v>74</v>
      </c>
      <c r="J16" s="140" t="s">
        <v>75</v>
      </c>
      <c r="K16" s="140" t="s">
        <v>76</v>
      </c>
      <c r="L16" s="225" t="s">
        <v>133</v>
      </c>
      <c r="N16" s="217"/>
      <c r="O16" s="1"/>
      <c r="P16" s="180"/>
      <c r="Q16" s="224"/>
      <c r="R16" s="127"/>
      <c r="AB16" s="127"/>
      <c r="AC16" s="10"/>
    </row>
    <row r="17" spans="1:29" ht="15" customHeight="1" x14ac:dyDescent="0.25">
      <c r="A17" s="127"/>
      <c r="B17" s="61"/>
      <c r="L17" s="212"/>
      <c r="N17" s="217"/>
      <c r="O17" s="232" t="s">
        <v>85</v>
      </c>
      <c r="P17" s="180"/>
      <c r="Q17" s="152"/>
      <c r="R17" s="127"/>
      <c r="AB17" s="127"/>
      <c r="AC17" s="10"/>
    </row>
    <row r="18" spans="1:29" ht="14.65" customHeight="1" x14ac:dyDescent="0.25">
      <c r="A18" s="127"/>
      <c r="B18" s="61"/>
      <c r="C18" s="66"/>
      <c r="D18" s="63" t="s">
        <v>79</v>
      </c>
      <c r="E18" s="127"/>
      <c r="F18" s="165">
        <v>46023</v>
      </c>
      <c r="G18" s="73" t="s">
        <v>80</v>
      </c>
      <c r="H18" s="167">
        <v>46234</v>
      </c>
      <c r="I18" s="127"/>
      <c r="J18" s="127"/>
      <c r="K18" s="127"/>
      <c r="L18" s="222"/>
      <c r="M18" s="127"/>
      <c r="N18" s="150"/>
      <c r="O18" s="151"/>
      <c r="P18" s="151"/>
      <c r="Q18" s="152"/>
      <c r="R18" s="127"/>
      <c r="AB18" s="127"/>
      <c r="AC18" s="10"/>
    </row>
    <row r="19" spans="1:29" x14ac:dyDescent="0.25">
      <c r="A19" s="127"/>
      <c r="B19" s="61"/>
      <c r="C19" s="66"/>
      <c r="D19" s="70" t="s">
        <v>83</v>
      </c>
      <c r="E19" s="143"/>
      <c r="F19" s="166">
        <v>350.03</v>
      </c>
      <c r="G19" s="166">
        <v>466.4</v>
      </c>
      <c r="H19" s="166">
        <v>233.65</v>
      </c>
      <c r="I19" s="166">
        <f>SUM(F19:H19)</f>
        <v>1050.08</v>
      </c>
      <c r="J19" s="166">
        <f>J20</f>
        <v>70</v>
      </c>
      <c r="K19" s="166">
        <f>I19-J19</f>
        <v>980.07999999999993</v>
      </c>
      <c r="L19" s="166">
        <v>101.33</v>
      </c>
      <c r="M19" s="127"/>
      <c r="N19" s="150"/>
      <c r="O19" s="153">
        <v>700.8</v>
      </c>
      <c r="P19" s="153">
        <v>46.63</v>
      </c>
      <c r="Q19" s="152"/>
      <c r="R19" s="127"/>
      <c r="S19" s="244"/>
      <c r="T19" s="239"/>
      <c r="U19" s="240"/>
      <c r="V19" s="240"/>
      <c r="W19" s="240"/>
      <c r="X19" s="240"/>
      <c r="Y19" s="240"/>
      <c r="Z19" s="240"/>
      <c r="AA19" s="241"/>
      <c r="AB19" s="127"/>
      <c r="AC19" s="10"/>
    </row>
    <row r="20" spans="1:29" ht="15" customHeight="1" x14ac:dyDescent="0.25">
      <c r="A20" s="127"/>
      <c r="B20" s="61"/>
      <c r="C20" s="66"/>
      <c r="D20" s="70" t="s">
        <v>84</v>
      </c>
      <c r="E20" s="143"/>
      <c r="F20" s="166">
        <v>107.26</v>
      </c>
      <c r="G20" s="166">
        <v>438.08</v>
      </c>
      <c r="H20" s="166">
        <v>233.65</v>
      </c>
      <c r="I20" s="166">
        <f>SUM(F20:H20)</f>
        <v>778.99</v>
      </c>
      <c r="J20" s="166">
        <f>CEILING(P20+((((I20-O20)/O20)*100)*P20/100),1)</f>
        <v>70</v>
      </c>
      <c r="K20" s="166">
        <f>I20-J20</f>
        <v>708.99</v>
      </c>
      <c r="L20" s="166">
        <v>101.33</v>
      </c>
      <c r="M20" s="127"/>
      <c r="N20" s="150"/>
      <c r="O20" s="153">
        <v>519.91999999999996</v>
      </c>
      <c r="P20" s="153">
        <v>46.63</v>
      </c>
      <c r="Q20" s="152"/>
      <c r="R20" s="127"/>
      <c r="S20" s="245"/>
      <c r="T20" s="233"/>
      <c r="U20" s="168" t="s">
        <v>90</v>
      </c>
      <c r="V20" s="54"/>
      <c r="W20" s="54"/>
      <c r="X20" s="54"/>
      <c r="Y20" s="54"/>
      <c r="Z20" s="54"/>
      <c r="AA20" s="242"/>
      <c r="AB20" s="127"/>
      <c r="AC20" s="10"/>
    </row>
    <row r="21" spans="1:29" ht="15" customHeight="1" x14ac:dyDescent="0.25">
      <c r="A21" s="127"/>
      <c r="B21" s="61"/>
      <c r="C21" s="66"/>
      <c r="D21" s="137"/>
      <c r="E21" s="127"/>
      <c r="F21" s="127"/>
      <c r="G21" s="127"/>
      <c r="H21" s="127"/>
      <c r="I21" s="127"/>
      <c r="J21" s="127"/>
      <c r="K21" s="127"/>
      <c r="L21" s="221"/>
      <c r="M21" s="127"/>
      <c r="N21" s="150"/>
      <c r="O21" s="151"/>
      <c r="P21" s="151"/>
      <c r="Q21" s="152"/>
      <c r="R21" s="127"/>
      <c r="S21" s="246"/>
      <c r="T21" s="54"/>
      <c r="U21" s="168"/>
      <c r="V21" s="54"/>
      <c r="W21" s="54"/>
      <c r="X21" s="56" t="s">
        <v>81</v>
      </c>
      <c r="Y21" s="56"/>
      <c r="Z21" s="56"/>
      <c r="AA21" s="243"/>
      <c r="AB21" s="127"/>
      <c r="AC21" s="10"/>
    </row>
    <row r="22" spans="1:29" x14ac:dyDescent="0.25">
      <c r="A22" s="127"/>
      <c r="B22" s="61"/>
      <c r="C22" s="66"/>
      <c r="D22" s="63" t="s">
        <v>79</v>
      </c>
      <c r="E22" s="127"/>
      <c r="F22" s="167">
        <v>46235</v>
      </c>
      <c r="G22" s="73" t="s">
        <v>80</v>
      </c>
      <c r="H22" s="167">
        <v>46387</v>
      </c>
      <c r="I22" s="127"/>
      <c r="J22" s="127"/>
      <c r="K22" s="127"/>
      <c r="L22" s="222"/>
      <c r="M22" s="127"/>
      <c r="N22" s="150"/>
      <c r="O22" s="151"/>
      <c r="P22" s="151"/>
      <c r="Q22" s="152"/>
      <c r="R22" s="127"/>
      <c r="S22" s="246">
        <v>1</v>
      </c>
      <c r="T22" s="54" t="s">
        <v>82</v>
      </c>
      <c r="U22" s="52"/>
      <c r="V22" s="234">
        <f>CEILING(K7,1)</f>
        <v>1051</v>
      </c>
      <c r="W22" s="54"/>
      <c r="X22" s="258" t="str">
        <f>G6</f>
        <v>t/m</v>
      </c>
      <c r="Y22" s="53" t="s">
        <v>80</v>
      </c>
      <c r="Z22" s="169">
        <f>H6</f>
        <v>46234</v>
      </c>
      <c r="AA22" s="243"/>
      <c r="AB22" s="127"/>
      <c r="AC22" s="10"/>
    </row>
    <row r="23" spans="1:29" x14ac:dyDescent="0.25">
      <c r="A23" s="127"/>
      <c r="B23" s="61"/>
      <c r="C23" s="66"/>
      <c r="D23" s="70" t="s">
        <v>83</v>
      </c>
      <c r="E23" s="143"/>
      <c r="F23" s="166">
        <v>350.03</v>
      </c>
      <c r="G23" s="166">
        <v>470.82</v>
      </c>
      <c r="H23" s="166">
        <v>233.65</v>
      </c>
      <c r="I23" s="166">
        <f>SUM(F23:H23)</f>
        <v>1054.5</v>
      </c>
      <c r="J23" s="166">
        <f>J24</f>
        <v>71</v>
      </c>
      <c r="K23" s="166">
        <f>I23-J23</f>
        <v>983.5</v>
      </c>
      <c r="L23" s="166" t="s">
        <v>141</v>
      </c>
      <c r="M23" s="127"/>
      <c r="N23" s="150"/>
      <c r="O23" s="153">
        <v>700.8</v>
      </c>
      <c r="P23" s="153">
        <v>46.63</v>
      </c>
      <c r="Q23" s="152"/>
      <c r="R23" s="127"/>
      <c r="S23" s="246">
        <v>2</v>
      </c>
      <c r="T23" s="54" t="s">
        <v>82</v>
      </c>
      <c r="U23" s="52"/>
      <c r="V23" s="234">
        <f>CEILING(K11,1)</f>
        <v>1051</v>
      </c>
      <c r="W23" s="54"/>
      <c r="X23" s="258" t="str">
        <f>G10</f>
        <v>t/m</v>
      </c>
      <c r="Y23" s="170" t="s">
        <v>80</v>
      </c>
      <c r="Z23" s="169">
        <f>H10</f>
        <v>46387</v>
      </c>
      <c r="AA23" s="243"/>
      <c r="AB23" s="127"/>
      <c r="AC23" s="10"/>
    </row>
    <row r="24" spans="1:29" x14ac:dyDescent="0.25">
      <c r="A24" s="127"/>
      <c r="B24" s="61"/>
      <c r="C24" s="66"/>
      <c r="D24" s="70" t="s">
        <v>84</v>
      </c>
      <c r="E24" s="143"/>
      <c r="F24" s="166">
        <v>107.26</v>
      </c>
      <c r="G24" s="166">
        <v>442.5</v>
      </c>
      <c r="H24" s="166">
        <v>233.65</v>
      </c>
      <c r="I24" s="166">
        <f>SUM(F24:H24)</f>
        <v>783.41</v>
      </c>
      <c r="J24" s="166">
        <f>CEILING(P24+((((I24-O24)/O24)*100)*P24/100),1)</f>
        <v>71</v>
      </c>
      <c r="K24" s="166">
        <f>I24-J24</f>
        <v>712.41</v>
      </c>
      <c r="L24" s="166" t="s">
        <v>141</v>
      </c>
      <c r="M24" s="127"/>
      <c r="N24" s="150"/>
      <c r="O24" s="153">
        <v>519.91999999999996</v>
      </c>
      <c r="P24" s="153">
        <v>46.63</v>
      </c>
      <c r="Q24" s="152"/>
      <c r="R24" s="127"/>
      <c r="S24" s="246">
        <v>3</v>
      </c>
      <c r="T24" s="54" t="s">
        <v>130</v>
      </c>
      <c r="U24" s="52"/>
      <c r="V24" s="234">
        <f>CEILING(K19,1)</f>
        <v>981</v>
      </c>
      <c r="W24" s="54"/>
      <c r="X24" s="258">
        <f>F18</f>
        <v>46023</v>
      </c>
      <c r="Y24" s="170" t="s">
        <v>80</v>
      </c>
      <c r="Z24" s="169">
        <f>H18</f>
        <v>46234</v>
      </c>
      <c r="AA24" s="243"/>
      <c r="AB24" s="127"/>
      <c r="AC24" s="10"/>
    </row>
    <row r="25" spans="1:29" ht="15" customHeight="1" x14ac:dyDescent="0.25">
      <c r="A25" s="127"/>
      <c r="B25" s="61"/>
      <c r="C25" s="127"/>
      <c r="D25" s="137"/>
      <c r="E25" s="127"/>
      <c r="F25" s="127"/>
      <c r="G25" s="127"/>
      <c r="H25" s="127"/>
      <c r="I25" s="127"/>
      <c r="J25" s="127"/>
      <c r="K25" s="127"/>
      <c r="L25" s="127"/>
      <c r="M25" s="127"/>
      <c r="N25" s="150"/>
      <c r="O25" s="151"/>
      <c r="P25" s="151"/>
      <c r="Q25" s="152"/>
      <c r="R25" s="127"/>
      <c r="S25" s="247">
        <v>4</v>
      </c>
      <c r="T25" s="235" t="s">
        <v>131</v>
      </c>
      <c r="U25" s="236"/>
      <c r="V25" s="237">
        <f>CEILING(K20,1)</f>
        <v>709</v>
      </c>
      <c r="W25" s="54"/>
      <c r="X25" s="258">
        <f>F18</f>
        <v>46023</v>
      </c>
      <c r="Y25" s="170" t="s">
        <v>80</v>
      </c>
      <c r="Z25" s="169">
        <f>H18</f>
        <v>46234</v>
      </c>
      <c r="AA25" s="243"/>
      <c r="AB25" s="127"/>
      <c r="AC25" s="10"/>
    </row>
    <row r="26" spans="1:29" x14ac:dyDescent="0.25">
      <c r="A26" s="127"/>
      <c r="B26" s="61"/>
      <c r="C26" s="144"/>
      <c r="D26" s="137"/>
      <c r="E26" s="143"/>
      <c r="F26" s="262"/>
      <c r="G26" s="127"/>
      <c r="H26" s="145"/>
      <c r="I26" s="146"/>
      <c r="J26" s="146"/>
      <c r="K26" s="146"/>
      <c r="L26" s="146"/>
      <c r="M26" s="146"/>
      <c r="N26" s="151"/>
      <c r="O26" s="151"/>
      <c r="P26" s="151"/>
      <c r="Q26" s="152"/>
      <c r="R26" s="127"/>
      <c r="S26" s="246">
        <v>5</v>
      </c>
      <c r="T26" s="54" t="s">
        <v>130</v>
      </c>
      <c r="U26" s="52"/>
      <c r="V26" s="234">
        <f>CEILING(K23,1)</f>
        <v>984</v>
      </c>
      <c r="W26" s="54"/>
      <c r="X26" s="258">
        <f>F22</f>
        <v>46235</v>
      </c>
      <c r="Y26" s="170" t="s">
        <v>80</v>
      </c>
      <c r="Z26" s="169">
        <f>H22</f>
        <v>46387</v>
      </c>
      <c r="AA26" s="243"/>
      <c r="AB26" s="127"/>
      <c r="AC26" s="10"/>
    </row>
    <row r="27" spans="1:29" x14ac:dyDescent="0.25">
      <c r="A27" s="127"/>
      <c r="C27" s="144"/>
      <c r="D27" s="137" t="s">
        <v>132</v>
      </c>
      <c r="E27" s="143"/>
      <c r="F27" s="166">
        <v>327.14999999999998</v>
      </c>
      <c r="G27" s="127"/>
      <c r="H27" s="157"/>
      <c r="I27" s="158"/>
      <c r="J27" s="154" t="s">
        <v>86</v>
      </c>
      <c r="K27" s="159"/>
      <c r="L27" s="159"/>
      <c r="M27" s="154"/>
      <c r="N27" s="154"/>
      <c r="O27" s="154"/>
      <c r="P27" s="154"/>
      <c r="Q27" s="152"/>
      <c r="R27" s="127"/>
      <c r="S27" s="247">
        <v>6</v>
      </c>
      <c r="T27" s="235" t="s">
        <v>131</v>
      </c>
      <c r="U27" s="236"/>
      <c r="V27" s="237">
        <f>CEILING(K24,1)</f>
        <v>713</v>
      </c>
      <c r="W27" s="54"/>
      <c r="X27" s="258">
        <f>F22</f>
        <v>46235</v>
      </c>
      <c r="Y27" s="170" t="s">
        <v>80</v>
      </c>
      <c r="Z27" s="169">
        <f>H22</f>
        <v>46387</v>
      </c>
      <c r="AA27" s="243"/>
      <c r="AB27" s="127"/>
      <c r="AC27" s="10"/>
    </row>
    <row r="28" spans="1:29" x14ac:dyDescent="0.25">
      <c r="A28" s="127"/>
      <c r="B28" s="61"/>
      <c r="G28" s="127"/>
      <c r="H28" s="160"/>
      <c r="I28" s="155"/>
      <c r="J28" s="155"/>
      <c r="K28" s="155" t="s">
        <v>88</v>
      </c>
      <c r="L28" s="159"/>
      <c r="M28" s="155"/>
      <c r="N28" s="155"/>
      <c r="O28" s="155"/>
      <c r="P28" s="155"/>
      <c r="Q28" s="152"/>
      <c r="R28" s="127"/>
      <c r="S28" s="248">
        <v>7</v>
      </c>
      <c r="T28" s="238" t="s">
        <v>87</v>
      </c>
      <c r="U28" s="108"/>
      <c r="V28" s="237">
        <f>CEILING(F27,1)</f>
        <v>328</v>
      </c>
      <c r="W28" s="35"/>
      <c r="X28" s="259">
        <f>F22</f>
        <v>46235</v>
      </c>
      <c r="Y28" s="118" t="s">
        <v>80</v>
      </c>
      <c r="Z28" s="260">
        <f>H10</f>
        <v>46387</v>
      </c>
      <c r="AA28" s="243"/>
      <c r="AB28" s="127"/>
    </row>
    <row r="29" spans="1:29" x14ac:dyDescent="0.25">
      <c r="C29" s="64"/>
      <c r="D29" s="143"/>
      <c r="E29" s="143"/>
      <c r="F29" s="74"/>
      <c r="G29" s="127"/>
      <c r="H29" s="161"/>
      <c r="I29" s="156"/>
      <c r="J29" s="156"/>
      <c r="K29" s="162"/>
      <c r="L29" s="163"/>
      <c r="M29" s="156"/>
      <c r="N29" s="156"/>
      <c r="O29" s="156"/>
      <c r="P29" s="156"/>
      <c r="Q29" s="164"/>
      <c r="R29" s="127"/>
      <c r="S29" s="249"/>
      <c r="T29" s="250"/>
      <c r="U29" s="251"/>
      <c r="V29" s="252"/>
      <c r="W29" s="253"/>
      <c r="X29" s="254"/>
      <c r="Y29" s="255"/>
      <c r="Z29" s="256"/>
      <c r="AA29" s="257"/>
      <c r="AB29" s="127"/>
    </row>
  </sheetData>
  <sheetProtection algorithmName="SHA-512" hashValue="eI24dm7IJHmzk7fa8MuKgXZsWfrU66JyilydHotCYnhRVqbXrLo6ne9Qm8peyQ3F9iGhm3s5uheRAMMzvm1MGg==" saltValue="JpC6+IKKErJM8KVI0tYg8Q==" spinCount="100000" sheet="1" objects="1" scenarios="1"/>
  <pageMargins left="0.7" right="0.7" top="0.75" bottom="0.75" header="0.3" footer="0.3"/>
  <pageSetup paperSize="8" scale="92" orientation="landscape" r:id="rId1"/>
  <ignoredErrors>
    <ignoredError sqref="I19:J20 K19:K20 J23:J24 K23:K24 I23:I2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9"/>
  <sheetViews>
    <sheetView zoomScaleNormal="100" workbookViewId="0">
      <selection activeCell="E18" sqref="E18"/>
    </sheetView>
  </sheetViews>
  <sheetFormatPr defaultColWidth="9.28515625" defaultRowHeight="15" x14ac:dyDescent="0.25"/>
  <cols>
    <col min="1" max="1" width="1.7109375" style="1" customWidth="1"/>
    <col min="2" max="2" width="21.42578125" style="1" customWidth="1"/>
    <col min="3" max="3" width="79.5703125" style="1" customWidth="1"/>
    <col min="4" max="4" width="2.28515625" style="1" customWidth="1"/>
    <col min="5" max="5" width="10.7109375" style="1" customWidth="1"/>
    <col min="6" max="6" width="9.28515625" style="1"/>
    <col min="7" max="7" width="1.7109375" style="1" customWidth="1"/>
    <col min="8" max="9" width="9.28515625" style="1"/>
    <col min="10" max="10" width="3.28515625" style="1" customWidth="1"/>
    <col min="11" max="16384" width="9.28515625" style="1"/>
  </cols>
  <sheetData>
    <row r="1" spans="2:16" ht="8.1" customHeight="1" x14ac:dyDescent="0.25"/>
    <row r="2" spans="2:16" x14ac:dyDescent="0.25">
      <c r="B2" s="29">
        <f>Participatiewet!E2</f>
        <v>46023</v>
      </c>
      <c r="D2" s="186"/>
    </row>
    <row r="3" spans="2:16" x14ac:dyDescent="0.25">
      <c r="M3" s="196"/>
      <c r="N3" s="180"/>
      <c r="O3" s="180"/>
      <c r="P3" s="180"/>
    </row>
    <row r="4" spans="2:16" x14ac:dyDescent="0.25">
      <c r="B4" s="176" t="s">
        <v>91</v>
      </c>
      <c r="C4" s="177"/>
      <c r="D4" s="178"/>
      <c r="E4" s="181"/>
      <c r="F4" s="180"/>
      <c r="G4" s="180"/>
      <c r="J4" s="175"/>
      <c r="M4" s="197"/>
      <c r="N4" s="180"/>
      <c r="O4" s="180"/>
      <c r="P4" s="198"/>
    </row>
    <row r="5" spans="2:16" x14ac:dyDescent="0.25">
      <c r="B5" s="184" t="s">
        <v>93</v>
      </c>
      <c r="C5" s="184" t="s">
        <v>94</v>
      </c>
      <c r="D5" s="185"/>
      <c r="E5" s="185" t="s">
        <v>29</v>
      </c>
      <c r="G5" s="151"/>
      <c r="H5" s="151"/>
      <c r="M5" s="197"/>
      <c r="N5" s="180"/>
      <c r="O5" s="180"/>
      <c r="P5" s="198"/>
    </row>
    <row r="6" spans="2:16" x14ac:dyDescent="0.25">
      <c r="B6" s="184"/>
      <c r="C6" s="187" t="s">
        <v>95</v>
      </c>
      <c r="D6" s="183"/>
      <c r="E6" s="189">
        <v>454</v>
      </c>
      <c r="G6" s="55"/>
      <c r="H6" s="200"/>
      <c r="I6" s="201"/>
      <c r="J6" s="202"/>
      <c r="M6" s="197"/>
      <c r="N6" s="180"/>
      <c r="O6" s="180"/>
      <c r="P6" s="198"/>
    </row>
    <row r="7" spans="2:16" x14ac:dyDescent="0.25">
      <c r="B7" s="180" t="s">
        <v>96</v>
      </c>
      <c r="C7" s="188" t="s">
        <v>97</v>
      </c>
      <c r="D7" s="183"/>
      <c r="E7" s="189">
        <v>10</v>
      </c>
      <c r="G7" s="51"/>
      <c r="H7" s="168" t="s">
        <v>123</v>
      </c>
      <c r="I7" s="193"/>
      <c r="J7" s="203"/>
      <c r="M7" s="197"/>
      <c r="N7" s="180"/>
      <c r="O7" s="180"/>
      <c r="P7" s="198"/>
    </row>
    <row r="8" spans="2:16" x14ac:dyDescent="0.25">
      <c r="B8" s="180"/>
      <c r="C8" s="188" t="s">
        <v>98</v>
      </c>
      <c r="D8" s="183"/>
      <c r="E8" s="189">
        <v>22</v>
      </c>
      <c r="G8" s="51"/>
      <c r="H8" s="195" t="s">
        <v>92</v>
      </c>
      <c r="I8" s="193"/>
      <c r="J8" s="203"/>
      <c r="M8" s="197"/>
      <c r="N8" s="180"/>
      <c r="O8" s="180"/>
      <c r="P8" s="198"/>
    </row>
    <row r="9" spans="2:16" x14ac:dyDescent="0.25">
      <c r="B9" s="180" t="s">
        <v>99</v>
      </c>
      <c r="C9" s="188" t="s">
        <v>100</v>
      </c>
      <c r="D9" s="183"/>
      <c r="E9" s="189">
        <v>56</v>
      </c>
      <c r="G9" s="32"/>
      <c r="H9" s="194"/>
      <c r="I9" s="35"/>
      <c r="J9" s="34"/>
      <c r="M9" s="197"/>
      <c r="N9" s="180"/>
      <c r="O9" s="180"/>
      <c r="P9" s="198"/>
    </row>
    <row r="10" spans="2:16" x14ac:dyDescent="0.25">
      <c r="B10" s="180"/>
      <c r="C10" s="188" t="s">
        <v>101</v>
      </c>
      <c r="D10" s="183"/>
      <c r="E10" s="189">
        <v>45</v>
      </c>
      <c r="G10" s="32"/>
      <c r="H10" s="194">
        <v>1</v>
      </c>
      <c r="I10" s="116">
        <f t="shared" ref="I10:I16" si="0">E6</f>
        <v>454</v>
      </c>
      <c r="J10" s="34"/>
      <c r="M10" s="197"/>
      <c r="N10" s="180"/>
      <c r="O10" s="180"/>
      <c r="P10" s="198"/>
    </row>
    <row r="11" spans="2:16" ht="15" customHeight="1" x14ac:dyDescent="0.25">
      <c r="B11" s="180"/>
      <c r="C11" s="188" t="s">
        <v>102</v>
      </c>
      <c r="D11" s="183"/>
      <c r="E11" s="189">
        <v>5</v>
      </c>
      <c r="G11" s="32"/>
      <c r="H11" s="194">
        <v>2</v>
      </c>
      <c r="I11" s="116">
        <f t="shared" si="0"/>
        <v>10</v>
      </c>
      <c r="J11" s="34"/>
      <c r="M11" s="197"/>
      <c r="N11" s="180"/>
      <c r="O11" s="180"/>
      <c r="P11" s="198"/>
    </row>
    <row r="12" spans="2:16" x14ac:dyDescent="0.25">
      <c r="B12" s="180"/>
      <c r="C12" s="188" t="s">
        <v>103</v>
      </c>
      <c r="D12" s="183"/>
      <c r="E12" s="189">
        <v>16524</v>
      </c>
      <c r="G12" s="32"/>
      <c r="H12" s="194">
        <v>3</v>
      </c>
      <c r="I12" s="116">
        <f t="shared" si="0"/>
        <v>22</v>
      </c>
      <c r="J12" s="34"/>
      <c r="M12" s="197"/>
      <c r="N12" s="180"/>
      <c r="O12" s="180"/>
      <c r="P12" s="198"/>
    </row>
    <row r="13" spans="2:16" ht="15" customHeight="1" x14ac:dyDescent="0.25">
      <c r="B13" s="180" t="s">
        <v>104</v>
      </c>
      <c r="C13" s="188" t="s">
        <v>105</v>
      </c>
      <c r="D13" s="183"/>
      <c r="E13" s="189">
        <v>22</v>
      </c>
      <c r="G13" s="32"/>
      <c r="H13" s="194">
        <v>4</v>
      </c>
      <c r="I13" s="116">
        <f t="shared" si="0"/>
        <v>56</v>
      </c>
      <c r="J13" s="34"/>
      <c r="M13" s="197"/>
      <c r="N13" s="180"/>
      <c r="O13" s="180"/>
      <c r="P13" s="198"/>
    </row>
    <row r="14" spans="2:16" x14ac:dyDescent="0.25">
      <c r="B14" s="180" t="s">
        <v>106</v>
      </c>
      <c r="C14" s="188" t="s">
        <v>107</v>
      </c>
      <c r="D14" s="183"/>
      <c r="E14" s="189">
        <v>22</v>
      </c>
      <c r="G14" s="32"/>
      <c r="H14" s="194">
        <v>5</v>
      </c>
      <c r="I14" s="116">
        <f t="shared" si="0"/>
        <v>45</v>
      </c>
      <c r="J14" s="34"/>
      <c r="M14" s="197"/>
      <c r="N14" s="180"/>
      <c r="O14" s="180"/>
      <c r="P14" s="198"/>
    </row>
    <row r="15" spans="2:16" ht="15" customHeight="1" x14ac:dyDescent="0.25">
      <c r="B15" s="180" t="s">
        <v>108</v>
      </c>
      <c r="C15" s="188" t="s">
        <v>109</v>
      </c>
      <c r="D15" s="183"/>
      <c r="E15" s="189">
        <v>5</v>
      </c>
      <c r="G15" s="32"/>
      <c r="H15" s="194">
        <v>6</v>
      </c>
      <c r="I15" s="116">
        <f t="shared" si="0"/>
        <v>5</v>
      </c>
      <c r="J15" s="34"/>
      <c r="M15" s="197"/>
      <c r="N15" s="180"/>
      <c r="O15" s="180"/>
      <c r="P15" s="198"/>
    </row>
    <row r="16" spans="2:16" x14ac:dyDescent="0.25">
      <c r="B16" s="180" t="s">
        <v>110</v>
      </c>
      <c r="C16" s="188" t="s">
        <v>111</v>
      </c>
      <c r="D16" s="183"/>
      <c r="E16" s="189">
        <v>78</v>
      </c>
      <c r="G16" s="32"/>
      <c r="H16" s="194">
        <v>7</v>
      </c>
      <c r="I16" s="116">
        <f t="shared" si="0"/>
        <v>16524</v>
      </c>
      <c r="J16" s="34"/>
      <c r="M16" s="197"/>
      <c r="N16" s="180"/>
      <c r="O16" s="180"/>
      <c r="P16" s="198"/>
    </row>
    <row r="17" spans="2:16" x14ac:dyDescent="0.25">
      <c r="B17" s="180"/>
      <c r="C17" s="188" t="s">
        <v>112</v>
      </c>
      <c r="D17" s="183"/>
      <c r="E17" s="189">
        <v>100</v>
      </c>
      <c r="G17" s="32"/>
      <c r="H17" s="194">
        <v>8</v>
      </c>
      <c r="I17" s="116">
        <f>E10</f>
        <v>45</v>
      </c>
      <c r="J17" s="34"/>
      <c r="M17" s="197"/>
      <c r="N17" s="180"/>
      <c r="O17" s="180"/>
      <c r="P17" s="198"/>
    </row>
    <row r="18" spans="2:16" x14ac:dyDescent="0.25">
      <c r="B18" s="180"/>
      <c r="C18" s="188" t="s">
        <v>113</v>
      </c>
      <c r="D18" s="183"/>
      <c r="E18" s="189">
        <v>22</v>
      </c>
      <c r="G18" s="32"/>
      <c r="H18" s="194">
        <v>9</v>
      </c>
      <c r="I18" s="116">
        <f>E25</f>
        <v>50</v>
      </c>
      <c r="J18" s="34"/>
    </row>
    <row r="19" spans="2:16" x14ac:dyDescent="0.25">
      <c r="B19" s="180"/>
      <c r="C19" s="188" t="s">
        <v>114</v>
      </c>
      <c r="D19" s="183"/>
      <c r="E19" s="189">
        <v>39</v>
      </c>
      <c r="G19" s="32"/>
      <c r="H19" s="194">
        <v>10</v>
      </c>
      <c r="I19" s="116">
        <f>E26</f>
        <v>6709</v>
      </c>
      <c r="J19" s="34"/>
    </row>
    <row r="20" spans="2:16" x14ac:dyDescent="0.25">
      <c r="B20" s="180" t="s">
        <v>115</v>
      </c>
      <c r="C20" s="188" t="s">
        <v>116</v>
      </c>
      <c r="D20" s="183"/>
      <c r="E20" s="189">
        <v>22</v>
      </c>
      <c r="G20" s="36"/>
      <c r="H20" s="204"/>
      <c r="I20" s="37"/>
      <c r="J20" s="38"/>
    </row>
    <row r="21" spans="2:16" x14ac:dyDescent="0.25">
      <c r="B21" s="180" t="s">
        <v>117</v>
      </c>
      <c r="C21" s="188" t="s">
        <v>118</v>
      </c>
      <c r="D21" s="183"/>
      <c r="E21" s="189">
        <v>7</v>
      </c>
      <c r="G21" s="180"/>
      <c r="I21" s="180"/>
      <c r="J21" s="180"/>
      <c r="K21" s="180"/>
      <c r="L21" s="180"/>
    </row>
    <row r="22" spans="2:16" x14ac:dyDescent="0.25">
      <c r="B22" s="180"/>
      <c r="C22" s="180"/>
      <c r="D22" s="183"/>
      <c r="E22" s="190"/>
      <c r="G22" s="180"/>
      <c r="I22" s="180"/>
      <c r="J22" s="180"/>
      <c r="K22" s="180"/>
      <c r="L22" s="180"/>
    </row>
    <row r="23" spans="2:16" x14ac:dyDescent="0.25">
      <c r="B23" s="182"/>
      <c r="C23" s="177"/>
      <c r="D23" s="177"/>
      <c r="E23" s="191"/>
      <c r="G23" s="180"/>
      <c r="I23" s="180"/>
      <c r="J23" s="180"/>
      <c r="K23" s="180"/>
      <c r="L23" s="180"/>
    </row>
    <row r="24" spans="2:16" x14ac:dyDescent="0.25">
      <c r="B24" s="176" t="s">
        <v>119</v>
      </c>
      <c r="C24" s="177"/>
      <c r="D24" s="178"/>
      <c r="E24" s="192"/>
      <c r="G24" s="180"/>
      <c r="I24" s="180"/>
      <c r="J24" s="180"/>
      <c r="K24" s="180"/>
      <c r="L24" s="180"/>
    </row>
    <row r="25" spans="2:16" x14ac:dyDescent="0.25">
      <c r="B25" s="180" t="s">
        <v>120</v>
      </c>
      <c r="C25" s="180" t="s">
        <v>121</v>
      </c>
      <c r="D25" s="183"/>
      <c r="E25" s="189">
        <v>50</v>
      </c>
      <c r="G25" s="151"/>
      <c r="I25" s="180"/>
      <c r="J25" s="179"/>
      <c r="K25" s="180"/>
      <c r="L25" s="180"/>
    </row>
    <row r="26" spans="2:16" x14ac:dyDescent="0.25">
      <c r="B26" s="180" t="s">
        <v>120</v>
      </c>
      <c r="C26" s="180" t="s">
        <v>122</v>
      </c>
      <c r="D26" s="183"/>
      <c r="E26" s="189">
        <v>6709</v>
      </c>
      <c r="G26" s="151"/>
      <c r="I26" s="180"/>
      <c r="J26" s="179"/>
      <c r="K26" s="180"/>
      <c r="L26" s="180"/>
    </row>
    <row r="27" spans="2:16" x14ac:dyDescent="0.25">
      <c r="G27" s="180"/>
    </row>
    <row r="28" spans="2:16" x14ac:dyDescent="0.25">
      <c r="B28" s="180"/>
      <c r="G28" s="180"/>
    </row>
    <row r="29" spans="2:16" x14ac:dyDescent="0.25">
      <c r="B29" s="180"/>
      <c r="C29" s="180"/>
      <c r="D29" s="180"/>
      <c r="E29" s="183"/>
      <c r="F29" s="180"/>
      <c r="G29" s="180"/>
      <c r="J29" s="175"/>
    </row>
  </sheetData>
  <sheetProtection algorithmName="SHA-512" hashValue="g51xUpFgqNXd7IL2czxdcjMNFSXEBy8E1Cqul+4HX8op/5pJky0yD9dyqafzE9MOU8jHUAK18f7RZohonTIEnA==" saltValue="3D4TdHpk2Rqo68/2ul4eow==" spinCount="100000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1"/>
  <sheetViews>
    <sheetView workbookViewId="0">
      <selection activeCell="I12" sqref="I12"/>
    </sheetView>
  </sheetViews>
  <sheetFormatPr defaultColWidth="9.28515625" defaultRowHeight="15" x14ac:dyDescent="0.25"/>
  <cols>
    <col min="1" max="1" width="1.5703125" style="1" customWidth="1"/>
    <col min="2" max="4" width="9.28515625" style="1"/>
    <col min="5" max="5" width="12.5703125" style="1" customWidth="1"/>
    <col min="6" max="6" width="15.28515625" style="1" customWidth="1"/>
    <col min="7" max="7" width="14.7109375" style="1" customWidth="1"/>
    <col min="8" max="8" width="3.5703125" style="1" customWidth="1"/>
    <col min="9" max="9" width="3.42578125" style="1" customWidth="1"/>
    <col min="10" max="16384" width="9.28515625" style="1"/>
  </cols>
  <sheetData>
    <row r="2" spans="2:11" x14ac:dyDescent="0.25">
      <c r="B2" s="265" t="s">
        <v>143</v>
      </c>
      <c r="G2" s="29">
        <f>Participatiewet!E2</f>
        <v>46023</v>
      </c>
    </row>
    <row r="4" spans="2:11" x14ac:dyDescent="0.25">
      <c r="B4" s="266" t="s">
        <v>144</v>
      </c>
      <c r="C4" s="31"/>
      <c r="D4" s="31"/>
      <c r="E4" s="31"/>
      <c r="F4" s="31"/>
      <c r="G4" s="31"/>
      <c r="H4" s="31"/>
      <c r="I4" s="121"/>
    </row>
    <row r="5" spans="2:11" x14ac:dyDescent="0.25">
      <c r="B5" s="32"/>
      <c r="C5" s="35"/>
      <c r="D5" s="35"/>
      <c r="E5" s="35"/>
      <c r="F5" s="35"/>
      <c r="G5" s="33" t="s">
        <v>145</v>
      </c>
      <c r="H5" s="35"/>
      <c r="I5" s="34"/>
    </row>
    <row r="6" spans="2:11" x14ac:dyDescent="0.25">
      <c r="B6" s="32"/>
      <c r="C6" s="33" t="s">
        <v>146</v>
      </c>
      <c r="D6" s="35" t="s">
        <v>147</v>
      </c>
      <c r="E6" s="35"/>
      <c r="F6" s="108" t="s">
        <v>154</v>
      </c>
      <c r="G6" s="189">
        <v>2508</v>
      </c>
      <c r="H6" s="35"/>
      <c r="I6" s="34"/>
    </row>
    <row r="7" spans="2:11" x14ac:dyDescent="0.25">
      <c r="B7" s="32"/>
      <c r="C7" s="33"/>
      <c r="D7" s="35" t="s">
        <v>156</v>
      </c>
      <c r="E7" s="35"/>
      <c r="F7" s="108" t="s">
        <v>155</v>
      </c>
      <c r="G7" s="189">
        <v>2508</v>
      </c>
      <c r="H7" s="35"/>
      <c r="I7" s="34"/>
    </row>
    <row r="8" spans="2:11" x14ac:dyDescent="0.25">
      <c r="B8" s="32"/>
      <c r="C8" s="33"/>
      <c r="D8" s="35" t="s">
        <v>148</v>
      </c>
      <c r="E8" s="35"/>
      <c r="F8" s="108" t="s">
        <v>151</v>
      </c>
      <c r="G8" s="189">
        <v>703</v>
      </c>
      <c r="H8" s="35"/>
      <c r="I8" s="34"/>
      <c r="K8" s="265" t="s">
        <v>157</v>
      </c>
    </row>
    <row r="9" spans="2:11" x14ac:dyDescent="0.25">
      <c r="B9" s="32"/>
      <c r="C9" s="33"/>
      <c r="D9" s="35" t="s">
        <v>149</v>
      </c>
      <c r="E9" s="35"/>
      <c r="F9" s="108" t="s">
        <v>152</v>
      </c>
      <c r="G9" s="189">
        <v>936</v>
      </c>
      <c r="H9" s="35"/>
      <c r="I9" s="34"/>
      <c r="K9" s="1" t="s">
        <v>158</v>
      </c>
    </row>
    <row r="10" spans="2:11" x14ac:dyDescent="0.25">
      <c r="B10" s="32"/>
      <c r="C10" s="33"/>
      <c r="D10" s="35" t="s">
        <v>150</v>
      </c>
      <c r="E10" s="35"/>
      <c r="F10" s="108" t="s">
        <v>153</v>
      </c>
      <c r="G10" s="189">
        <v>3320</v>
      </c>
      <c r="H10" s="35"/>
      <c r="I10" s="34"/>
    </row>
    <row r="11" spans="2:11" x14ac:dyDescent="0.25">
      <c r="B11" s="36"/>
      <c r="C11" s="37"/>
      <c r="D11" s="37"/>
      <c r="E11" s="37"/>
      <c r="F11" s="37"/>
      <c r="G11" s="267"/>
      <c r="H11" s="37"/>
      <c r="I11" s="38"/>
    </row>
  </sheetData>
  <sheetProtection algorithmName="SHA-512" hashValue="uEatjV4xVaINf/Nx7A69lzDX0qDURzDFyI/nGAp5Y+vUZFH82JMku2jgOkBxQwgBaUpuPcIZ0BOa+vU07y1yCw==" saltValue="pDn/7PSTKjdPj9x1yZ3BFw==" spinCount="100000" sheet="1" objects="1" scenarios="1"/>
  <pageMargins left="0.7" right="0.7" top="0.75" bottom="0.75" header="0.3" footer="0.3"/>
  <pageSetup orientation="portrait" r:id="rId1"/>
  <ignoredErrors>
    <ignoredError sqref="G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Participatiewet</vt:lpstr>
      <vt:lpstr>Max vBVV</vt:lpstr>
      <vt:lpstr>KWT</vt:lpstr>
      <vt:lpstr>Huur</vt:lpstr>
      <vt:lpstr>School</vt:lpstr>
      <vt:lpstr>Kosten</vt:lpstr>
      <vt:lpstr>KGB</vt:lpstr>
    </vt:vector>
  </TitlesOfParts>
  <Company>Ministerie van Financiën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Kappen</dc:creator>
  <cp:lastModifiedBy>Jeroen C.F.Z. de Keiser</cp:lastModifiedBy>
  <cp:lastPrinted>2016-02-25T10:46:02Z</cp:lastPrinted>
  <dcterms:created xsi:type="dcterms:W3CDTF">2014-12-15T08:56:30Z</dcterms:created>
  <dcterms:modified xsi:type="dcterms:W3CDTF">2025-12-16T12:41:06Z</dcterms:modified>
</cp:coreProperties>
</file>